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Dataset_rev4.2" sheetId="3" state="visible" r:id="rId5"/>
    <sheet name="Stage3_ANN" sheetId="4" state="visible" r:id="rId6"/>
    <sheet name="Stage5_NSGA2" sheetId="5" state="visible" r:id="rId7"/>
    <sheet name="Stage6_Correlations" sheetId="6" state="visible" r:id="rId8"/>
    <sheet name="Stage7_Annual" sheetId="7" state="visible" r:id="rId9"/>
    <sheet name="Economic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<sst xmlns="http://schemas.openxmlformats.org/spreadsheetml/2006/main" count="2846" uniqueCount="569">
  <si>
    <t xml:space="preserve">GRAIL Collector - CFD dataset rev 4.2 with Stage 3-7 results</t>
  </si>
  <si>
    <t xml:space="preserve">Dataset_rev4.2: the 300 GRAIL-CHT cases, copied cell for cell from GRAIL_CFD_dataset_FINAL_rev4.2.csv.</t>
  </si>
  <si>
    <t xml:space="preserve">   The CSV file itself is unchanged (MD5 13fd464c09a7c26fbe0fa75a5f5113b3, the MD5 recorded by Stage 3).</t>
  </si>
  <si>
    <t xml:space="preserve">   Nothing was added to, removed from or edited in the 300 rows.</t>
  </si>
  <si>
    <t xml:space="preserve">Summary: the headline Stage 3-7 results, each linked to its detail sheet.</t>
  </si>
  <si>
    <t xml:space="preserve">Stage3_ANN, Stage5_NSGA2, Stage6_Correlations, Stage7_Annual, Economics: detail sheets.</t>
  </si>
  <si>
    <t xml:space="preserve">Colour code</t>
  </si>
  <si>
    <t xml:space="preserve">   blue   = number read from the result file named in the 'Source file' column</t>
  </si>
  <si>
    <t xml:space="preserve">   black  = Excel formula computed in this workbook</t>
  </si>
  <si>
    <t xml:space="preserve">   green  = link to another sheet</t>
  </si>
  <si>
    <t xml:space="preserve">Numbers are stored at full precision; the displayed decimals are formatting only.</t>
  </si>
  <si>
    <t xml:space="preserve">Source paths are relative to the GRAIL_Collector_Complete_Final package folder.</t>
  </si>
  <si>
    <t xml:space="preserve">Model results only: no experimental validation is claimed (see V5 record).</t>
  </si>
  <si>
    <t xml:space="preserve">DESIGN_REVIEW_REQUIRED: 4 modules stagnate above 420 K; Stage 5 optimum at the flow bound and g_ratio -&gt; 1.</t>
  </si>
  <si>
    <t xml:space="preserve">GRAIL Stages 3-7 - headline results (every number links to its detail sheet)</t>
  </si>
  <si>
    <t xml:space="preserve">Stage</t>
  </si>
  <si>
    <t xml:space="preserve">Result</t>
  </si>
  <si>
    <t xml:space="preserve">Value</t>
  </si>
  <si>
    <t xml:space="preserve">Unit</t>
  </si>
  <si>
    <t xml:space="preserve">How it was checked</t>
  </si>
  <si>
    <t xml:space="preserve">3. ANN surrogate</t>
  </si>
  <si>
    <t xml:space="preserve">Mean absolute % error in efficiency (60 held-out cases)</t>
  </si>
  <si>
    <t xml:space="preserve">%</t>
  </si>
  <si>
    <t xml:space="preserve">60 cases never seen in training; GPR slightly more accurate (Stage3_ANN)</t>
  </si>
  <si>
    <t xml:space="preserve">Efficiency test R2, single ANNs - lowest</t>
  </si>
  <si>
    <t xml:space="preserve">-</t>
  </si>
  <si>
    <t xml:space="preserve">Efficiency test R2, single ANNs - highest</t>
  </si>
  <si>
    <t xml:space="preserve">GPR efficiency test R2</t>
  </si>
  <si>
    <t xml:space="preserve">stated in the report</t>
  </si>
  <si>
    <t xml:space="preserve">SHAP rank 1-4 for efficiency</t>
  </si>
  <si>
    <t xml:space="preserve">f_interdig = arrangement</t>
  </si>
  <si>
    <t xml:space="preserve">5. NSGA-II</t>
  </si>
  <si>
    <t xml:space="preserve">Largest efficiency error of 8 designs re-run in GRAIL-CHT</t>
  </si>
  <si>
    <t xml:space="preserve">points</t>
  </si>
  <si>
    <t xml:space="preserve">full GRAIL-CHT re-run</t>
  </si>
  <si>
    <t xml:space="preserve">Largest plate-spread (std) error of the same 8 designs</t>
  </si>
  <si>
    <t xml:space="preserve">6. System model</t>
  </si>
  <si>
    <t xml:space="preserve">eta0 alternating</t>
  </si>
  <si>
    <t xml:space="preserve">22 GRAIL-CHT runs</t>
  </si>
  <si>
    <t xml:space="preserve">a1 alternating</t>
  </si>
  <si>
    <t xml:space="preserve">W/m2K</t>
  </si>
  <si>
    <t xml:space="preserve">eta0 parallel</t>
  </si>
  <si>
    <t xml:space="preserve">a1 parallel</t>
  </si>
  <si>
    <t xml:space="preserve">Largest error at points left out of the fit</t>
  </si>
  <si>
    <t xml:space="preserve">tank energy balance closes (1e-12 kWh)</t>
  </si>
  <si>
    <t xml:space="preserve">7. Annual, Berhampur</t>
  </si>
  <si>
    <t xml:space="preserve">Sunlight on the collector (POA)</t>
  </si>
  <si>
    <t xml:space="preserve">kWh/m2/yr</t>
  </si>
  <si>
    <t xml:space="preserve">Yield at 40 C inlet - parallel</t>
  </si>
  <si>
    <t xml:space="preserve">Yield at 40 C inlet - alternating</t>
  </si>
  <si>
    <t xml:space="preserve">Weather processing vs PVGIS PV report (35 deg)</t>
  </si>
  <si>
    <t xml:space="preserve">independent PVGIS report</t>
  </si>
  <si>
    <t xml:space="preserve">7. Economics</t>
  </si>
  <si>
    <t xml:space="preserve">Best size for 100 L/day at 45 C</t>
  </si>
  <si>
    <t xml:space="preserve">modules</t>
  </si>
  <si>
    <t xml:space="preserve">sizing sweep 1-4 modules</t>
  </si>
  <si>
    <t xml:space="preserve">Solar fraction - parallel</t>
  </si>
  <si>
    <t xml:space="preserve">Solar fraction - alternating</t>
  </si>
  <si>
    <t xml:space="preserve">Cost of solar heat - parallel</t>
  </si>
  <si>
    <t xml:space="preserve">Rs/kWh</t>
  </si>
  <si>
    <t xml:space="preserve">Cost of solar heat - alternating</t>
  </si>
  <si>
    <t xml:space="preserve">Cost of heat from an electric geyser</t>
  </si>
  <si>
    <t xml:space="preserve">tariff / 0.95</t>
  </si>
  <si>
    <t xml:space="preserve">Simple payback - parallel</t>
  </si>
  <si>
    <t xml:space="preserve">yr</t>
  </si>
  <si>
    <t xml:space="preserve">Simple payback - alternating</t>
  </si>
  <si>
    <t xml:space="preserve">Tariff (TPSODL domestic, FY 2026-27)</t>
  </si>
  <si>
    <t xml:space="preserve">unchanged from FY 2025-26</t>
  </si>
  <si>
    <t xml:space="preserve">case_id</t>
  </si>
  <si>
    <t xml:space="preserve">geometry_version</t>
  </si>
  <si>
    <t xml:space="preserve">solver</t>
  </si>
  <si>
    <t xml:space="preserve">arrangement</t>
  </si>
  <si>
    <t xml:space="preserve">f_interdig</t>
  </si>
  <si>
    <t xml:space="preserve">G_T_W_m2</t>
  </si>
  <si>
    <t xml:space="preserve">T_in_K</t>
  </si>
  <si>
    <t xml:space="preserve">T_amb_K</t>
  </si>
  <si>
    <t xml:space="preserve">v_wind_m_s</t>
  </si>
  <si>
    <t xml:space="preserve">mdot_total_kg_s</t>
  </si>
  <si>
    <t xml:space="preserve">mdot_channel_kg_s</t>
  </si>
  <si>
    <t xml:space="preserve">bridge_mm</t>
  </si>
  <si>
    <t xml:space="preserve">g_ratio</t>
  </si>
  <si>
    <t xml:space="preserve">lambda_G</t>
  </si>
  <si>
    <t xml:space="preserve">Dh_in_mm</t>
  </si>
  <si>
    <t xml:space="preserve">Dh_out_mm</t>
  </si>
  <si>
    <t xml:space="preserve">A_in_mm2</t>
  </si>
  <si>
    <t xml:space="preserve">A_out_mm2</t>
  </si>
  <si>
    <t xml:space="preserve">Re_in</t>
  </si>
  <si>
    <t xml:space="preserve">Re_out</t>
  </si>
  <si>
    <t xml:space="preserve">mu_Pa_s</t>
  </si>
  <si>
    <t xml:space="preserve">dp_channel_Pa</t>
  </si>
  <si>
    <t xml:space="preserve">W_pump_W</t>
  </si>
  <si>
    <t xml:space="preserve">q_abs_W_m2</t>
  </si>
  <si>
    <t xml:space="preserve">T_sky_K</t>
  </si>
  <si>
    <t xml:space="preserve">h_wind_W_m2K</t>
  </si>
  <si>
    <t xml:space="preserve">T_out_K</t>
  </si>
  <si>
    <t xml:space="preserve">dT_fluid_K</t>
  </si>
  <si>
    <t xml:space="preserve">Qu_W</t>
  </si>
  <si>
    <t xml:space="preserve">eta</t>
  </si>
  <si>
    <t xml:space="preserve">T_plate_mean_K</t>
  </si>
  <si>
    <t xml:space="preserve">T_plate_max_K</t>
  </si>
  <si>
    <t xml:space="preserve">T_plate_min_K</t>
  </si>
  <si>
    <t xml:space="preserve">plate_spread_K</t>
  </si>
  <si>
    <t xml:space="preserve">plate_std_K</t>
  </si>
  <si>
    <t xml:space="preserve">P90_K</t>
  </si>
  <si>
    <t xml:space="preserve">P95_K</t>
  </si>
  <si>
    <t xml:space="preserve">P99_K</t>
  </si>
  <si>
    <t xml:space="preserve">R4_K4</t>
  </si>
  <si>
    <t xml:space="preserve">Tmean_pow4_K4</t>
  </si>
  <si>
    <t xml:space="preserve">T_R4_K</t>
  </si>
  <si>
    <t xml:space="preserve">Q_solar_W</t>
  </si>
  <si>
    <t xml:space="preserve">Q_rad_W</t>
  </si>
  <si>
    <t xml:space="preserve">Q_conv_W</t>
  </si>
  <si>
    <t xml:space="preserve">Q_rear_W</t>
  </si>
  <si>
    <t xml:space="preserve">U_L_W_m2K</t>
  </si>
  <si>
    <t xml:space="preserve">T_glass_mean_K</t>
  </si>
  <si>
    <t xml:space="preserve">lateral_bridge_W</t>
  </si>
  <si>
    <t xml:space="preserve">energy_error_pct</t>
  </si>
  <si>
    <t xml:space="preserve">outer_iters</t>
  </si>
  <si>
    <t xml:space="preserve">residual</t>
  </si>
  <si>
    <t xml:space="preserve">converged</t>
  </si>
  <si>
    <t xml:space="preserve">Nu_closure_input</t>
  </si>
  <si>
    <t xml:space="preserve">Nu_closure_basis</t>
  </si>
  <si>
    <t xml:space="preserve">dataset_rev</t>
  </si>
  <si>
    <t xml:space="preserve">k_model</t>
  </si>
  <si>
    <t xml:space="preserve">outer_cap</t>
  </si>
  <si>
    <t xml:space="preserve">plate_nx</t>
  </si>
  <si>
    <t xml:space="preserve">plate_ny</t>
  </si>
  <si>
    <t xml:space="preserve">ALT_000</t>
  </si>
  <si>
    <t xml:space="preserve">GateA_converged_v1</t>
  </si>
  <si>
    <t xml:space="preserve">GRAIL-CHT-1.0</t>
  </si>
  <si>
    <t xml:space="preserve">alternating</t>
  </si>
  <si>
    <t xml:space="preserve">True</t>
  </si>
  <si>
    <t xml:space="preserve">conjugate_3D_benchmark_H1_type</t>
  </si>
  <si>
    <t xml:space="preserve">k(T)_cubic_273_373K</t>
  </si>
  <si>
    <t xml:space="preserve">richardson_2x220_minus_110</t>
  </si>
  <si>
    <t xml:space="preserve">ALT_001</t>
  </si>
  <si>
    <t xml:space="preserve">ALT_002</t>
  </si>
  <si>
    <t xml:space="preserve">ALT_003</t>
  </si>
  <si>
    <t xml:space="preserve">ALT_004</t>
  </si>
  <si>
    <t xml:space="preserve">ALT_005</t>
  </si>
  <si>
    <t xml:space="preserve">ALT_006</t>
  </si>
  <si>
    <t xml:space="preserve">ALT_007</t>
  </si>
  <si>
    <t xml:space="preserve">ALT_008</t>
  </si>
  <si>
    <t xml:space="preserve">ALT_009</t>
  </si>
  <si>
    <t xml:space="preserve">ALT_010</t>
  </si>
  <si>
    <t xml:space="preserve">ALT_011</t>
  </si>
  <si>
    <t xml:space="preserve">ALT_012</t>
  </si>
  <si>
    <t xml:space="preserve">ALT_013</t>
  </si>
  <si>
    <t xml:space="preserve">ALT_014</t>
  </si>
  <si>
    <t xml:space="preserve">ALT_015</t>
  </si>
  <si>
    <t xml:space="preserve">ALT_016</t>
  </si>
  <si>
    <t xml:space="preserve">ALT_017</t>
  </si>
  <si>
    <t xml:space="preserve">ALT_018</t>
  </si>
  <si>
    <t xml:space="preserve">ALT_019</t>
  </si>
  <si>
    <t xml:space="preserve">ALT_020</t>
  </si>
  <si>
    <t xml:space="preserve">ALT_021</t>
  </si>
  <si>
    <t xml:space="preserve">ALT_022</t>
  </si>
  <si>
    <t xml:space="preserve">ALT_023</t>
  </si>
  <si>
    <t xml:space="preserve">ALT_024</t>
  </si>
  <si>
    <t xml:space="preserve">ALT_025</t>
  </si>
  <si>
    <t xml:space="preserve">ALT_026</t>
  </si>
  <si>
    <t xml:space="preserve">ALT_027</t>
  </si>
  <si>
    <t xml:space="preserve">ALT_028</t>
  </si>
  <si>
    <t xml:space="preserve">ALT_029</t>
  </si>
  <si>
    <t xml:space="preserve">ALT_030</t>
  </si>
  <si>
    <t xml:space="preserve">ALT_031</t>
  </si>
  <si>
    <t xml:space="preserve">ALT_032</t>
  </si>
  <si>
    <t xml:space="preserve">ALT_033</t>
  </si>
  <si>
    <t xml:space="preserve">ALT_034</t>
  </si>
  <si>
    <t xml:space="preserve">ALT_035</t>
  </si>
  <si>
    <t xml:space="preserve">ALT_036</t>
  </si>
  <si>
    <t xml:space="preserve">ALT_037</t>
  </si>
  <si>
    <t xml:space="preserve">ALT_038</t>
  </si>
  <si>
    <t xml:space="preserve">ALT_039</t>
  </si>
  <si>
    <t xml:space="preserve">ALT_040</t>
  </si>
  <si>
    <t xml:space="preserve">ALT_041</t>
  </si>
  <si>
    <t xml:space="preserve">ALT_042</t>
  </si>
  <si>
    <t xml:space="preserve">ALT_043</t>
  </si>
  <si>
    <t xml:space="preserve">ALT_044</t>
  </si>
  <si>
    <t xml:space="preserve">ALT_045</t>
  </si>
  <si>
    <t xml:space="preserve">ALT_046</t>
  </si>
  <si>
    <t xml:space="preserve">ALT_047</t>
  </si>
  <si>
    <t xml:space="preserve">ALT_048</t>
  </si>
  <si>
    <t xml:space="preserve">ALT_049</t>
  </si>
  <si>
    <t xml:space="preserve">ALT_050</t>
  </si>
  <si>
    <t xml:space="preserve">ALT_051</t>
  </si>
  <si>
    <t xml:space="preserve">ALT_052</t>
  </si>
  <si>
    <t xml:space="preserve">ALT_053</t>
  </si>
  <si>
    <t xml:space="preserve">ALT_054</t>
  </si>
  <si>
    <t xml:space="preserve">ALT_055</t>
  </si>
  <si>
    <t xml:space="preserve">ALT_056</t>
  </si>
  <si>
    <t xml:space="preserve">ALT_057</t>
  </si>
  <si>
    <t xml:space="preserve">ALT_058</t>
  </si>
  <si>
    <t xml:space="preserve">ALT_059</t>
  </si>
  <si>
    <t xml:space="preserve">ALT_060</t>
  </si>
  <si>
    <t xml:space="preserve">ALT_061</t>
  </si>
  <si>
    <t xml:space="preserve">ALT_062</t>
  </si>
  <si>
    <t xml:space="preserve">ALT_063</t>
  </si>
  <si>
    <t xml:space="preserve">ALT_064</t>
  </si>
  <si>
    <t xml:space="preserve">ALT_065</t>
  </si>
  <si>
    <t xml:space="preserve">ALT_066</t>
  </si>
  <si>
    <t xml:space="preserve">ALT_067</t>
  </si>
  <si>
    <t xml:space="preserve">ALT_068</t>
  </si>
  <si>
    <t xml:space="preserve">ALT_069</t>
  </si>
  <si>
    <t xml:space="preserve">ALT_070</t>
  </si>
  <si>
    <t xml:space="preserve">ALT_071</t>
  </si>
  <si>
    <t xml:space="preserve">ALT_072</t>
  </si>
  <si>
    <t xml:space="preserve">ALT_073</t>
  </si>
  <si>
    <t xml:space="preserve">ALT_074</t>
  </si>
  <si>
    <t xml:space="preserve">ALT_075</t>
  </si>
  <si>
    <t xml:space="preserve">ALT_076</t>
  </si>
  <si>
    <t xml:space="preserve">ALT_077</t>
  </si>
  <si>
    <t xml:space="preserve">ALT_078</t>
  </si>
  <si>
    <t xml:space="preserve">ALT_079</t>
  </si>
  <si>
    <t xml:space="preserve">ALT_080</t>
  </si>
  <si>
    <t xml:space="preserve">ALT_081</t>
  </si>
  <si>
    <t xml:space="preserve">ALT_082</t>
  </si>
  <si>
    <t xml:space="preserve">ALT_083</t>
  </si>
  <si>
    <t xml:space="preserve">ALT_084</t>
  </si>
  <si>
    <t xml:space="preserve">ALT_085</t>
  </si>
  <si>
    <t xml:space="preserve">ALT_086</t>
  </si>
  <si>
    <t xml:space="preserve">ALT_087</t>
  </si>
  <si>
    <t xml:space="preserve">ALT_088</t>
  </si>
  <si>
    <t xml:space="preserve">ALT_089</t>
  </si>
  <si>
    <t xml:space="preserve">ALT_090</t>
  </si>
  <si>
    <t xml:space="preserve">ALT_091</t>
  </si>
  <si>
    <t xml:space="preserve">ALT_092</t>
  </si>
  <si>
    <t xml:space="preserve">ALT_093</t>
  </si>
  <si>
    <t xml:space="preserve">ALT_094</t>
  </si>
  <si>
    <t xml:space="preserve">ALT_095</t>
  </si>
  <si>
    <t xml:space="preserve">ALT_096</t>
  </si>
  <si>
    <t xml:space="preserve">ALT_097</t>
  </si>
  <si>
    <t xml:space="preserve">ALT_098</t>
  </si>
  <si>
    <t xml:space="preserve">ALT_099</t>
  </si>
  <si>
    <t xml:space="preserve">ALT_100</t>
  </si>
  <si>
    <t xml:space="preserve">ALT_101</t>
  </si>
  <si>
    <t xml:space="preserve">ALT_102</t>
  </si>
  <si>
    <t xml:space="preserve">ALT_103</t>
  </si>
  <si>
    <t xml:space="preserve">ALT_104</t>
  </si>
  <si>
    <t xml:space="preserve">ALT_105</t>
  </si>
  <si>
    <t xml:space="preserve">ALT_106</t>
  </si>
  <si>
    <t xml:space="preserve">ALT_107</t>
  </si>
  <si>
    <t xml:space="preserve">ALT_108</t>
  </si>
  <si>
    <t xml:space="preserve">ALT_109</t>
  </si>
  <si>
    <t xml:space="preserve">ALT_110</t>
  </si>
  <si>
    <t xml:space="preserve">ALT_111</t>
  </si>
  <si>
    <t xml:space="preserve">ALT_112</t>
  </si>
  <si>
    <t xml:space="preserve">ALT_113</t>
  </si>
  <si>
    <t xml:space="preserve">ALT_114</t>
  </si>
  <si>
    <t xml:space="preserve">ALT_115</t>
  </si>
  <si>
    <t xml:space="preserve">ALT_116</t>
  </si>
  <si>
    <t xml:space="preserve">ALT_117</t>
  </si>
  <si>
    <t xml:space="preserve">ALT_118</t>
  </si>
  <si>
    <t xml:space="preserve">ALT_119</t>
  </si>
  <si>
    <t xml:space="preserve">ALT_120</t>
  </si>
  <si>
    <t xml:space="preserve">ALT_121</t>
  </si>
  <si>
    <t xml:space="preserve">ALT_122</t>
  </si>
  <si>
    <t xml:space="preserve">ALT_123</t>
  </si>
  <si>
    <t xml:space="preserve">ALT_124</t>
  </si>
  <si>
    <t xml:space="preserve">ALT_125</t>
  </si>
  <si>
    <t xml:space="preserve">ALT_126</t>
  </si>
  <si>
    <t xml:space="preserve">ALT_127</t>
  </si>
  <si>
    <t xml:space="preserve">ALT_128</t>
  </si>
  <si>
    <t xml:space="preserve">ALT_129</t>
  </si>
  <si>
    <t xml:space="preserve">ALT_130</t>
  </si>
  <si>
    <t xml:space="preserve">ALT_131</t>
  </si>
  <si>
    <t xml:space="preserve">ALT_132</t>
  </si>
  <si>
    <t xml:space="preserve">ALT_133</t>
  </si>
  <si>
    <t xml:space="preserve">ALT_134</t>
  </si>
  <si>
    <t xml:space="preserve">ALT_135</t>
  </si>
  <si>
    <t xml:space="preserve">ALT_136</t>
  </si>
  <si>
    <t xml:space="preserve">ALT_137</t>
  </si>
  <si>
    <t xml:space="preserve">ALT_138</t>
  </si>
  <si>
    <t xml:space="preserve">ALT_139</t>
  </si>
  <si>
    <t xml:space="preserve">ALT_140</t>
  </si>
  <si>
    <t xml:space="preserve">ALT_141</t>
  </si>
  <si>
    <t xml:space="preserve">ALT_142</t>
  </si>
  <si>
    <t xml:space="preserve">ALT_143</t>
  </si>
  <si>
    <t xml:space="preserve">ALT_144</t>
  </si>
  <si>
    <t xml:space="preserve">ALT_145</t>
  </si>
  <si>
    <t xml:space="preserve">ALT_146</t>
  </si>
  <si>
    <t xml:space="preserve">ALT_147</t>
  </si>
  <si>
    <t xml:space="preserve">ALT_148</t>
  </si>
  <si>
    <t xml:space="preserve">ALT_149</t>
  </si>
  <si>
    <t xml:space="preserve">PAR_000</t>
  </si>
  <si>
    <t xml:space="preserve">parallel</t>
  </si>
  <si>
    <t xml:space="preserve">PAR_001</t>
  </si>
  <si>
    <t xml:space="preserve">PAR_002</t>
  </si>
  <si>
    <t xml:space="preserve">PAR_003</t>
  </si>
  <si>
    <t xml:space="preserve">PAR_004</t>
  </si>
  <si>
    <t xml:space="preserve">PAR_005</t>
  </si>
  <si>
    <t xml:space="preserve">PAR_006</t>
  </si>
  <si>
    <t xml:space="preserve">PAR_007</t>
  </si>
  <si>
    <t xml:space="preserve">PAR_008</t>
  </si>
  <si>
    <t xml:space="preserve">PAR_009</t>
  </si>
  <si>
    <t xml:space="preserve">PAR_010</t>
  </si>
  <si>
    <t xml:space="preserve">PAR_011</t>
  </si>
  <si>
    <t xml:space="preserve">PAR_012</t>
  </si>
  <si>
    <t xml:space="preserve">PAR_013</t>
  </si>
  <si>
    <t xml:space="preserve">PAR_014</t>
  </si>
  <si>
    <t xml:space="preserve">PAR_015</t>
  </si>
  <si>
    <t xml:space="preserve">PAR_016</t>
  </si>
  <si>
    <t xml:space="preserve">PAR_017</t>
  </si>
  <si>
    <t xml:space="preserve">PAR_018</t>
  </si>
  <si>
    <t xml:space="preserve">PAR_019</t>
  </si>
  <si>
    <t xml:space="preserve">PAR_020</t>
  </si>
  <si>
    <t xml:space="preserve">PAR_021</t>
  </si>
  <si>
    <t xml:space="preserve">PAR_022</t>
  </si>
  <si>
    <t xml:space="preserve">PAR_023</t>
  </si>
  <si>
    <t xml:space="preserve">PAR_024</t>
  </si>
  <si>
    <t xml:space="preserve">PAR_025</t>
  </si>
  <si>
    <t xml:space="preserve">PAR_026</t>
  </si>
  <si>
    <t xml:space="preserve">PAR_027</t>
  </si>
  <si>
    <t xml:space="preserve">PAR_028</t>
  </si>
  <si>
    <t xml:space="preserve">PAR_029</t>
  </si>
  <si>
    <t xml:space="preserve">PAR_030</t>
  </si>
  <si>
    <t xml:space="preserve">PAR_031</t>
  </si>
  <si>
    <t xml:space="preserve">PAR_032</t>
  </si>
  <si>
    <t xml:space="preserve">PAR_033</t>
  </si>
  <si>
    <t xml:space="preserve">PAR_034</t>
  </si>
  <si>
    <t xml:space="preserve">PAR_035</t>
  </si>
  <si>
    <t xml:space="preserve">PAR_036</t>
  </si>
  <si>
    <t xml:space="preserve">PAR_037</t>
  </si>
  <si>
    <t xml:space="preserve">PAR_038</t>
  </si>
  <si>
    <t xml:space="preserve">PAR_039</t>
  </si>
  <si>
    <t xml:space="preserve">PAR_040</t>
  </si>
  <si>
    <t xml:space="preserve">PAR_041</t>
  </si>
  <si>
    <t xml:space="preserve">PAR_042</t>
  </si>
  <si>
    <t xml:space="preserve">PAR_043</t>
  </si>
  <si>
    <t xml:space="preserve">PAR_044</t>
  </si>
  <si>
    <t xml:space="preserve">PAR_045</t>
  </si>
  <si>
    <t xml:space="preserve">PAR_046</t>
  </si>
  <si>
    <t xml:space="preserve">PAR_047</t>
  </si>
  <si>
    <t xml:space="preserve">PAR_048</t>
  </si>
  <si>
    <t xml:space="preserve">PAR_049</t>
  </si>
  <si>
    <t xml:space="preserve">PAR_050</t>
  </si>
  <si>
    <t xml:space="preserve">PAR_051</t>
  </si>
  <si>
    <t xml:space="preserve">PAR_052</t>
  </si>
  <si>
    <t xml:space="preserve">PAR_053</t>
  </si>
  <si>
    <t xml:space="preserve">PAR_054</t>
  </si>
  <si>
    <t xml:space="preserve">PAR_055</t>
  </si>
  <si>
    <t xml:space="preserve">PAR_056</t>
  </si>
  <si>
    <t xml:space="preserve">PAR_057</t>
  </si>
  <si>
    <t xml:space="preserve">PAR_058</t>
  </si>
  <si>
    <t xml:space="preserve">PAR_059</t>
  </si>
  <si>
    <t xml:space="preserve">PAR_060</t>
  </si>
  <si>
    <t xml:space="preserve">PAR_061</t>
  </si>
  <si>
    <t xml:space="preserve">PAR_062</t>
  </si>
  <si>
    <t xml:space="preserve">PAR_063</t>
  </si>
  <si>
    <t xml:space="preserve">PAR_064</t>
  </si>
  <si>
    <t xml:space="preserve">PAR_065</t>
  </si>
  <si>
    <t xml:space="preserve">PAR_066</t>
  </si>
  <si>
    <t xml:space="preserve">PAR_067</t>
  </si>
  <si>
    <t xml:space="preserve">PAR_068</t>
  </si>
  <si>
    <t xml:space="preserve">PAR_069</t>
  </si>
  <si>
    <t xml:space="preserve">PAR_070</t>
  </si>
  <si>
    <t xml:space="preserve">PAR_071</t>
  </si>
  <si>
    <t xml:space="preserve">PAR_072</t>
  </si>
  <si>
    <t xml:space="preserve">PAR_073</t>
  </si>
  <si>
    <t xml:space="preserve">PAR_074</t>
  </si>
  <si>
    <t xml:space="preserve">PAR_075</t>
  </si>
  <si>
    <t xml:space="preserve">PAR_076</t>
  </si>
  <si>
    <t xml:space="preserve">PAR_077</t>
  </si>
  <si>
    <t xml:space="preserve">PAR_078</t>
  </si>
  <si>
    <t xml:space="preserve">PAR_079</t>
  </si>
  <si>
    <t xml:space="preserve">PAR_080</t>
  </si>
  <si>
    <t xml:space="preserve">PAR_081</t>
  </si>
  <si>
    <t xml:space="preserve">PAR_082</t>
  </si>
  <si>
    <t xml:space="preserve">PAR_083</t>
  </si>
  <si>
    <t xml:space="preserve">PAR_084</t>
  </si>
  <si>
    <t xml:space="preserve">PAR_085</t>
  </si>
  <si>
    <t xml:space="preserve">PAR_086</t>
  </si>
  <si>
    <t xml:space="preserve">PAR_087</t>
  </si>
  <si>
    <t xml:space="preserve">PAR_088</t>
  </si>
  <si>
    <t xml:space="preserve">PAR_089</t>
  </si>
  <si>
    <t xml:space="preserve">PAR_090</t>
  </si>
  <si>
    <t xml:space="preserve">PAR_091</t>
  </si>
  <si>
    <t xml:space="preserve">PAR_092</t>
  </si>
  <si>
    <t xml:space="preserve">PAR_093</t>
  </si>
  <si>
    <t xml:space="preserve">PAR_094</t>
  </si>
  <si>
    <t xml:space="preserve">PAR_095</t>
  </si>
  <si>
    <t xml:space="preserve">PAR_096</t>
  </si>
  <si>
    <t xml:space="preserve">PAR_097</t>
  </si>
  <si>
    <t xml:space="preserve">PAR_098</t>
  </si>
  <si>
    <t xml:space="preserve">PAR_099</t>
  </si>
  <si>
    <t xml:space="preserve">PAR_100</t>
  </si>
  <si>
    <t xml:space="preserve">PAR_101</t>
  </si>
  <si>
    <t xml:space="preserve">PAR_102</t>
  </si>
  <si>
    <t xml:space="preserve">PAR_103</t>
  </si>
  <si>
    <t xml:space="preserve">PAR_104</t>
  </si>
  <si>
    <t xml:space="preserve">PAR_105</t>
  </si>
  <si>
    <t xml:space="preserve">PAR_106</t>
  </si>
  <si>
    <t xml:space="preserve">PAR_107</t>
  </si>
  <si>
    <t xml:space="preserve">PAR_108</t>
  </si>
  <si>
    <t xml:space="preserve">PAR_109</t>
  </si>
  <si>
    <t xml:space="preserve">PAR_110</t>
  </si>
  <si>
    <t xml:space="preserve">PAR_111</t>
  </si>
  <si>
    <t xml:space="preserve">PAR_112</t>
  </si>
  <si>
    <t xml:space="preserve">PAR_113</t>
  </si>
  <si>
    <t xml:space="preserve">PAR_114</t>
  </si>
  <si>
    <t xml:space="preserve">PAR_115</t>
  </si>
  <si>
    <t xml:space="preserve">PAR_116</t>
  </si>
  <si>
    <t xml:space="preserve">PAR_117</t>
  </si>
  <si>
    <t xml:space="preserve">PAR_118</t>
  </si>
  <si>
    <t xml:space="preserve">PAR_119</t>
  </si>
  <si>
    <t xml:space="preserve">PAR_120</t>
  </si>
  <si>
    <t xml:space="preserve">PAR_121</t>
  </si>
  <si>
    <t xml:space="preserve">PAR_122</t>
  </si>
  <si>
    <t xml:space="preserve">PAR_123</t>
  </si>
  <si>
    <t xml:space="preserve">PAR_124</t>
  </si>
  <si>
    <t xml:space="preserve">PAR_125</t>
  </si>
  <si>
    <t xml:space="preserve">PAR_126</t>
  </si>
  <si>
    <t xml:space="preserve">PAR_127</t>
  </si>
  <si>
    <t xml:space="preserve">PAR_128</t>
  </si>
  <si>
    <t xml:space="preserve">PAR_129</t>
  </si>
  <si>
    <t xml:space="preserve">PAR_130</t>
  </si>
  <si>
    <t xml:space="preserve">PAR_131</t>
  </si>
  <si>
    <t xml:space="preserve">PAR_132</t>
  </si>
  <si>
    <t xml:space="preserve">PAR_133</t>
  </si>
  <si>
    <t xml:space="preserve">PAR_134</t>
  </si>
  <si>
    <t xml:space="preserve">PAR_135</t>
  </si>
  <si>
    <t xml:space="preserve">PAR_136</t>
  </si>
  <si>
    <t xml:space="preserve">PAR_137</t>
  </si>
  <si>
    <t xml:space="preserve">PAR_138</t>
  </si>
  <si>
    <t xml:space="preserve">PAR_139</t>
  </si>
  <si>
    <t xml:space="preserve">PAR_140</t>
  </si>
  <si>
    <t xml:space="preserve">PAR_141</t>
  </si>
  <si>
    <t xml:space="preserve">PAR_142</t>
  </si>
  <si>
    <t xml:space="preserve">PAR_143</t>
  </si>
  <si>
    <t xml:space="preserve">PAR_144</t>
  </si>
  <si>
    <t xml:space="preserve">PAR_145</t>
  </si>
  <si>
    <t xml:space="preserve">PAR_146</t>
  </si>
  <si>
    <t xml:space="preserve">PAR_147</t>
  </si>
  <si>
    <t xml:space="preserve">PAR_148</t>
  </si>
  <si>
    <t xml:space="preserve">PAR_149</t>
  </si>
  <si>
    <t xml:space="preserve">Stage 3 - ANN surrogate (10-seed MLP ensemble) vs GPR and linear baseline</t>
  </si>
  <si>
    <t xml:space="preserve">Train 240 cases / test 60 held-out cases; inputs: G_T_W_m2, T_in_K, T_amb_K, v_wind_m_s, mdot_total_kg_s, bridge_mm, g_ratio, lambda_G, f_interdig</t>
  </si>
  <si>
    <t xml:space="preserve">Target</t>
  </si>
  <si>
    <t xml:space="preserve">ANN ensemble test R2</t>
  </si>
  <si>
    <t xml:space="preserve">Single-ANN test R2 min</t>
  </si>
  <si>
    <t xml:space="preserve">Single-ANN test R2 max</t>
  </si>
  <si>
    <t xml:space="preserve">ANN test MAPE (%)</t>
  </si>
  <si>
    <t xml:space="preserve">ANN test RMSE</t>
  </si>
  <si>
    <t xml:space="preserve">GPR test R2</t>
  </si>
  <si>
    <t xml:space="preserve">Linear test R2</t>
  </si>
  <si>
    <t xml:space="preserve">Best hidden layers</t>
  </si>
  <si>
    <t xml:space="preserve">Source file</t>
  </si>
  <si>
    <t xml:space="preserve">[64, 32]</t>
  </si>
  <si>
    <t xml:space="preserve">12_Stages_3-5-6-7/surrogate/stage3_report.json</t>
  </si>
  <si>
    <t xml:space="preserve">[32, 32]</t>
  </si>
  <si>
    <t xml:space="preserve">log_dp_Pa</t>
  </si>
  <si>
    <t xml:space="preserve">SHAP mean |SHAP| on the test set (efficiency eta), ranked</t>
  </si>
  <si>
    <t xml:space="preserve">Rank</t>
  </si>
  <si>
    <t xml:space="preserve">Input</t>
  </si>
  <si>
    <t xml:space="preserve">mean |SHAP| (eta)</t>
  </si>
  <si>
    <t xml:space="preserve">Stage 5 - NSGA-II optimum points re-run in GRAIL-CHT (surrogate vs full model)</t>
  </si>
  <si>
    <t xml:space="preserve">pick</t>
  </si>
  <si>
    <t xml:space="preserve">eta_ann</t>
  </si>
  <si>
    <t xml:space="preserve">eta_cht</t>
  </si>
  <si>
    <t xml:space="preserve">std_ann</t>
  </si>
  <si>
    <t xml:space="preserve">std_cht</t>
  </si>
  <si>
    <t xml:space="preserve">dp_ann</t>
  </si>
  <si>
    <t xml:space="preserve">dp_cht</t>
  </si>
  <si>
    <t xml:space="preserve">Tmax_cht</t>
  </si>
  <si>
    <t xml:space="preserve">eta_err_pp</t>
  </si>
  <si>
    <t xml:space="preserve">std_err_pct</t>
  </si>
  <si>
    <t xml:space="preserve">dp_err_pct</t>
  </si>
  <si>
    <t xml:space="preserve">|eta err| (points)</t>
  </si>
  <si>
    <t xml:space="preserve">|plate std err| (%)</t>
  </si>
  <si>
    <t xml:space="preserve">max_eta</t>
  </si>
  <si>
    <t xml:space="preserve">12_Stages_3-5-6-7/optimisation/verification_vs_GRAIL-CHT.csv</t>
  </si>
  <si>
    <t xml:space="preserve">min_std</t>
  </si>
  <si>
    <t xml:space="preserve">knee</t>
  </si>
  <si>
    <t xml:space="preserve">as_built</t>
  </si>
  <si>
    <t xml:space="preserve">Largest |eta error| (points)</t>
  </si>
  <si>
    <t xml:space="preserve">Largest |plate std error| (%)</t>
  </si>
  <si>
    <t xml:space="preserve">DESIGN_REVIEW_REQUIRED: the optimum sits at the flow upper bound and at g_ratio -&gt; 1.0.</t>
  </si>
  <si>
    <t xml:space="preserve">Stage 6 - ISO 9806 steady-state efficiency, q = eta0 G - a1 dT - a2 dT^2 (dT = Tm - Ta)</t>
  </si>
  <si>
    <t xml:space="preserve">Quantity</t>
  </si>
  <si>
    <t xml:space="preserve">Alternating</t>
  </si>
  <si>
    <t xml:space="preserve">Parallel</t>
  </si>
  <si>
    <t xml:space="preserve">eta0</t>
  </si>
  <si>
    <t xml:space="preserve">12_Stages_3-5-6-7/system_model/efficiency_correlations.json</t>
  </si>
  <si>
    <t xml:space="preserve">a1</t>
  </si>
  <si>
    <t xml:space="preserve">a2</t>
  </si>
  <si>
    <t xml:space="preserve">W/m2K2</t>
  </si>
  <si>
    <t xml:space="preserve">Fit RMS error</t>
  </si>
  <si>
    <t xml:space="preserve">Fit max error</t>
  </si>
  <si>
    <t xml:space="preserve">a2 constraint</t>
  </si>
  <si>
    <t xml:space="preserve">not active</t>
  </si>
  <si>
    <t xml:space="preserve">a2 &gt;= 0 enforced</t>
  </si>
  <si>
    <t xml:space="preserve">Unconstrained a2 (parallel)</t>
  </si>
  <si>
    <t xml:space="preserve">negative (unphysical), so refitted with a2 = 0; both fits on record</t>
  </si>
  <si>
    <t xml:space="preserve">Held-out GRAIL-CHT points (not used in the fit)</t>
  </si>
  <si>
    <t xml:space="preserve">Arrangement</t>
  </si>
  <si>
    <t xml:space="preserve">G</t>
  </si>
  <si>
    <t xml:space="preserve">T_in</t>
  </si>
  <si>
    <t xml:space="preserve">T_amb</t>
  </si>
  <si>
    <t xml:space="preserve">wind</t>
  </si>
  <si>
    <t xml:space="preserve">eta_fit</t>
  </si>
  <si>
    <t xml:space="preserve">err_pp</t>
  </si>
  <si>
    <t xml:space="preserve">|error| (points)</t>
  </si>
  <si>
    <t xml:space="preserve">Largest held-out error (points)</t>
  </si>
  <si>
    <t xml:space="preserve">Fit based on 22 GRAIL-CHT runs (G 500/900 W/m2 x 4 inlet temperatures, both arrangements) plus these held-out points.</t>
  </si>
  <si>
    <t xml:space="preserve">Stage 7 - Annual performance, Berhampur (PVGIS TMY 2005-2023, tilt 19.3 deg S, Hay-Davies)</t>
  </si>
  <si>
    <t xml:space="preserve">Global horizontal irradiation (GHI)</t>
  </si>
  <si>
    <t xml:space="preserve">12_Stages_3-5-6-7/annual/stage7_results.json</t>
  </si>
  <si>
    <t xml:space="preserve">Plane-of-array irradiation (POA)</t>
  </si>
  <si>
    <t xml:space="preserve">POA after incidence-angle losses</t>
  </si>
  <si>
    <t xml:space="preserve">Collector yield, 40 C (313.15 K) inlet - parallel</t>
  </si>
  <si>
    <t xml:space="preserve">Collector yield, 40 C (313.15 K) inlet - alternating</t>
  </si>
  <si>
    <t xml:space="preserve">Collector yield, 60 C (333.15 K) inlet - parallel</t>
  </si>
  <si>
    <t xml:space="preserve">Collector yield, 60 C (333.15 K) inlet - alternating</t>
  </si>
  <si>
    <t xml:space="preserve">Weather cross-check at 35 deg tilt against the PVGIS PV report (PVGIS-ERA5)</t>
  </si>
  <si>
    <t xml:space="preserve">Month</t>
  </si>
  <si>
    <t xml:space="preserve">PVGIS H(i)_m (kWh/m2)</t>
  </si>
  <si>
    <t xml:space="preserve">12_Stages_3-5-6-7/annual/weather/PVGIS_PVreport_35deg_crosscheck.csv</t>
  </si>
  <si>
    <t xml:space="preserve">PVGIS year (sum)</t>
  </si>
  <si>
    <t xml:space="preserve">This model at 35 deg</t>
  </si>
  <si>
    <t xml:space="preserve">12_Stages_3-5-6-7/annual/stage7_weather_check.txt (tilt 35 line)</t>
  </si>
  <si>
    <t xml:space="preserve">Difference</t>
  </si>
  <si>
    <t xml:space="preserve">SDHW sizing sweep: 100 L/day delivered at 45 C (318.15 K)</t>
  </si>
  <si>
    <t xml:space="preserve">n_modules</t>
  </si>
  <si>
    <t xml:space="preserve">aperture_m2</t>
  </si>
  <si>
    <t xml:space="preserve">solar_fraction</t>
  </si>
  <si>
    <t xml:space="preserve">Q_solar_kWh</t>
  </si>
  <si>
    <t xml:space="preserve">yield_kWh_m2</t>
  </si>
  <si>
    <t xml:space="preserve">tank_loss_kWh</t>
  </si>
  <si>
    <t xml:space="preserve">hours_tank_limit</t>
  </si>
  <si>
    <t xml:space="preserve">max_collector_K</t>
  </si>
  <si>
    <t xml:space="preserve">hours_collector_above_393K</t>
  </si>
  <si>
    <t xml:space="preserve">capex_Rs</t>
  </si>
  <si>
    <t xml:space="preserve">net_saving_Rs</t>
  </si>
  <si>
    <t xml:space="preserve">simple_payback_yr</t>
  </si>
  <si>
    <t xml:space="preserve">discounted_payback_yr</t>
  </si>
  <si>
    <t xml:space="preserve">NPV_Rs</t>
  </si>
  <si>
    <t xml:space="preserve">LCOH_Rs_kWh</t>
  </si>
  <si>
    <t xml:space="preserve">12_Stages_3-5-6-7/annual/sizing_sweep.csv</t>
  </si>
  <si>
    <t xml:space="preserve">DESIGN_REVIEW_REQUIRED: with 4 modules the collector stagnates above 420 K (max_collector_K).</t>
  </si>
  <si>
    <t xml:space="preserve">Economics - 2-module system (1.056 m2), 100 L/day at 45 C, Berhampur</t>
  </si>
  <si>
    <t xml:space="preserve">Basis / source</t>
  </si>
  <si>
    <t xml:space="preserve">Electricity tariff</t>
  </si>
  <si>
    <t xml:space="preserve">TPSODL LT domestic 51-200 kWh/month slab, 470 paise/kWh (FY 2025-26, retained FY 2026-27); electricity duty excluded (conservative)</t>
  </si>
  <si>
    <t xml:space="preserve">Electric geyser efficiency</t>
  </si>
  <si>
    <t xml:space="preserve">Capex fixed part</t>
  </si>
  <si>
    <t xml:space="preserve">Rs</t>
  </si>
  <si>
    <t xml:space="preserve">ENGINEERING_ASSUMPTION (Stage 7 sizing sweep)</t>
  </si>
  <si>
    <t xml:space="preserve">Capex per module</t>
  </si>
  <si>
    <t xml:space="preserve">Rs/module</t>
  </si>
  <si>
    <t xml:space="preserve">Modules</t>
  </si>
  <si>
    <t xml:space="preserve">best size from the sizing sweep</t>
  </si>
  <si>
    <t xml:space="preserve">Life</t>
  </si>
  <si>
    <t xml:space="preserve">Discount rate</t>
  </si>
  <si>
    <t xml:space="preserve">O&amp;M per year (fraction of capex)</t>
  </si>
  <si>
    <t xml:space="preserve">Capex (formula)</t>
  </si>
  <si>
    <t xml:space="preserve">12,000 + 4,500 per module; checked against capex_Rs in the sizing sweep below</t>
  </si>
  <si>
    <t xml:space="preserve">Capex check vs sizing sweep</t>
  </si>
  <si>
    <t xml:space="preserve">tariff / geyser efficiency</t>
  </si>
  <si>
    <t xml:space="preserve">Result (2 modules)</t>
  </si>
  <si>
    <t xml:space="preserve">Solar fraction</t>
  </si>
  <si>
    <t xml:space="preserve">Solar heat delivered</t>
  </si>
  <si>
    <t xml:space="preserve">kWh/yr</t>
  </si>
  <si>
    <t xml:space="preserve">Cost of solar heat (LCOH)</t>
  </si>
  <si>
    <t xml:space="preserve">Simple payback</t>
  </si>
  <si>
    <t xml:space="preserve">Discounted payback</t>
  </si>
  <si>
    <t xml:space="preserve">Net saving per year</t>
  </si>
  <si>
    <t xml:space="preserve">Rs/yr</t>
  </si>
  <si>
    <t xml:space="preserve">NPV over life</t>
  </si>
  <si>
    <t xml:space="preserve">Solar heat cheaper than the geyser?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</si>
</sst>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000"/>
    <numFmt numFmtId="167" formatCode="0.00"/>
    <numFmt numFmtId="168" formatCode="#,##0"/>
    <numFmt numFmtId="169" formatCode="0.0%"/>
    <numFmt numFmtId="170" formatCode="0"/>
    <numFmt numFmtId="171" formatCode="0.0"/>
    <numFmt numFmtId="172" formatCode="0.00000"/>
    <numFmt numFmtId="173" formatCode="0.000000"/>
    <numFmt numFmtId="174" formatCode="General"/>
    <numFmt numFmtId="175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" t="s">
        <v>14</v>
      </c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</row>
    <row r="4" customFormat="false" ht="15" hidden="false" customHeight="false" outlineLevel="0" collapsed="false">
      <c r="A4" s="7" t="s">
        <v>20</v>
      </c>
      <c r="B4" s="7" t="s">
        <v>21</v>
      </c>
      <c r="C4" s="8" t="n">
        <f aca="false">Stage3_ANN!E5</f>
        <v>0.137517419665099</v>
      </c>
      <c r="D4" s="7" t="s">
        <v>22</v>
      </c>
      <c r="E4" s="9" t="s">
        <v>23</v>
      </c>
    </row>
    <row r="5" customFormat="false" ht="15" hidden="false" customHeight="false" outlineLevel="0" collapsed="false">
      <c r="A5" s="7" t="s">
        <v>20</v>
      </c>
      <c r="B5" s="7" t="s">
        <v>24</v>
      </c>
      <c r="C5" s="10" t="n">
        <f aca="false">Stage3_ANN!C5</f>
        <v>0.999434921943814</v>
      </c>
      <c r="D5" s="7" t="s">
        <v>25</v>
      </c>
      <c r="E5" s="9"/>
    </row>
    <row r="6" customFormat="false" ht="15" hidden="false" customHeight="false" outlineLevel="0" collapsed="false">
      <c r="A6" s="7" t="s">
        <v>20</v>
      </c>
      <c r="B6" s="7" t="s">
        <v>26</v>
      </c>
      <c r="C6" s="10" t="n">
        <f aca="false">Stage3_ANN!D5</f>
        <v>0.999771229127776</v>
      </c>
      <c r="D6" s="7" t="s">
        <v>25</v>
      </c>
      <c r="E6" s="9"/>
    </row>
    <row r="7" customFormat="false" ht="15" hidden="false" customHeight="false" outlineLevel="0" collapsed="false">
      <c r="A7" s="7" t="s">
        <v>20</v>
      </c>
      <c r="B7" s="7" t="s">
        <v>27</v>
      </c>
      <c r="C7" s="10" t="n">
        <f aca="false">Stage3_ANN!G5</f>
        <v>0.999880270192251</v>
      </c>
      <c r="D7" s="7" t="s">
        <v>25</v>
      </c>
      <c r="E7" s="9" t="s">
        <v>28</v>
      </c>
    </row>
    <row r="8" customFormat="false" ht="15" hidden="false" customHeight="false" outlineLevel="0" collapsed="false">
      <c r="A8" s="7" t="s">
        <v>20</v>
      </c>
      <c r="B8" s="7" t="s">
        <v>29</v>
      </c>
      <c r="C8" s="11" t="str">
        <f aca="false">Stage3_ANN!B12&amp;", "&amp;Stage3_ANN!B13&amp;", "&amp;Stage3_ANN!B14&amp;", "&amp;Stage3_ANN!B15</f>
        <v>T_in_K, T_amb_K, mdot_total_kg_s, f_interdig</v>
      </c>
      <c r="D8" s="7" t="s">
        <v>25</v>
      </c>
      <c r="E8" s="9" t="s">
        <v>30</v>
      </c>
    </row>
    <row r="9" customFormat="false" ht="15" hidden="false" customHeight="false" outlineLevel="0" collapsed="false">
      <c r="A9" s="7" t="s">
        <v>31</v>
      </c>
      <c r="B9" s="7" t="s">
        <v>32</v>
      </c>
      <c r="C9" s="8" t="n">
        <f aca="false">Stage5_NSGA2!B13</f>
        <v>0.128317835913183</v>
      </c>
      <c r="D9" s="7" t="s">
        <v>33</v>
      </c>
      <c r="E9" s="9" t="s">
        <v>34</v>
      </c>
    </row>
    <row r="10" customFormat="false" ht="15" hidden="false" customHeight="false" outlineLevel="0" collapsed="false">
      <c r="A10" s="7" t="s">
        <v>31</v>
      </c>
      <c r="B10" s="7" t="s">
        <v>35</v>
      </c>
      <c r="C10" s="12" t="n">
        <f aca="false">Stage5_NSGA2!B14</f>
        <v>2.33868149991941</v>
      </c>
      <c r="D10" s="7" t="s">
        <v>22</v>
      </c>
      <c r="E10" s="9"/>
    </row>
    <row r="11" customFormat="false" ht="15" hidden="false" customHeight="false" outlineLevel="0" collapsed="false">
      <c r="A11" s="7" t="s">
        <v>36</v>
      </c>
      <c r="B11" s="7" t="s">
        <v>37</v>
      </c>
      <c r="C11" s="8" t="n">
        <f aca="false">Stage6_Correlations!B4</f>
        <v>0.596590602074081</v>
      </c>
      <c r="D11" s="7" t="s">
        <v>25</v>
      </c>
      <c r="E11" s="9" t="s">
        <v>38</v>
      </c>
    </row>
    <row r="12" customFormat="false" ht="15" hidden="false" customHeight="false" outlineLevel="0" collapsed="false">
      <c r="A12" s="7" t="s">
        <v>36</v>
      </c>
      <c r="B12" s="7" t="s">
        <v>39</v>
      </c>
      <c r="C12" s="12" t="n">
        <f aca="false">Stage6_Correlations!B5</f>
        <v>2.00388284490474</v>
      </c>
      <c r="D12" s="7" t="s">
        <v>40</v>
      </c>
      <c r="E12" s="9"/>
    </row>
    <row r="13" customFormat="false" ht="15" hidden="false" customHeight="false" outlineLevel="0" collapsed="false">
      <c r="A13" s="7" t="s">
        <v>36</v>
      </c>
      <c r="B13" s="7" t="s">
        <v>41</v>
      </c>
      <c r="C13" s="8" t="n">
        <f aca="false">Stage6_Correlations!C4</f>
        <v>0.636772800100427</v>
      </c>
      <c r="D13" s="7" t="s">
        <v>25</v>
      </c>
      <c r="E13" s="9"/>
    </row>
    <row r="14" customFormat="false" ht="15" hidden="false" customHeight="false" outlineLevel="0" collapsed="false">
      <c r="A14" s="7" t="s">
        <v>36</v>
      </c>
      <c r="B14" s="7" t="s">
        <v>42</v>
      </c>
      <c r="C14" s="12" t="n">
        <f aca="false">Stage6_Correlations!C5</f>
        <v>2.10407644099926</v>
      </c>
      <c r="D14" s="7" t="s">
        <v>40</v>
      </c>
      <c r="E14" s="9"/>
    </row>
    <row r="15" customFormat="false" ht="15" hidden="false" customHeight="false" outlineLevel="0" collapsed="false">
      <c r="A15" s="7" t="s">
        <v>36</v>
      </c>
      <c r="B15" s="7" t="s">
        <v>43</v>
      </c>
      <c r="C15" s="12" t="n">
        <f aca="false">Stage6_Correlations!B21</f>
        <v>0.23863308237877</v>
      </c>
      <c r="D15" s="7" t="s">
        <v>33</v>
      </c>
      <c r="E15" s="9" t="s">
        <v>44</v>
      </c>
    </row>
    <row r="16" customFormat="false" ht="15" hidden="false" customHeight="false" outlineLevel="0" collapsed="false">
      <c r="A16" s="7" t="s">
        <v>45</v>
      </c>
      <c r="B16" s="7" t="s">
        <v>46</v>
      </c>
      <c r="C16" s="13" t="n">
        <f aca="false">Stage7_Annual!B5</f>
        <v>1976.13485951392</v>
      </c>
      <c r="D16" s="7" t="s">
        <v>47</v>
      </c>
      <c r="E16" s="9"/>
    </row>
    <row r="17" customFormat="false" ht="15" hidden="false" customHeight="false" outlineLevel="0" collapsed="false">
      <c r="A17" s="7" t="s">
        <v>45</v>
      </c>
      <c r="B17" s="7" t="s">
        <v>48</v>
      </c>
      <c r="C17" s="13" t="n">
        <f aca="false">Stage7_Annual!B7</f>
        <v>1029.89394865276</v>
      </c>
      <c r="D17" s="7" t="s">
        <v>47</v>
      </c>
      <c r="E17" s="9"/>
    </row>
    <row r="18" customFormat="false" ht="15" hidden="false" customHeight="false" outlineLevel="0" collapsed="false">
      <c r="A18" s="7" t="s">
        <v>45</v>
      </c>
      <c r="B18" s="7" t="s">
        <v>49</v>
      </c>
      <c r="C18" s="13" t="n">
        <f aca="false">Stage7_Annual!B8</f>
        <v>965.156883183078</v>
      </c>
      <c r="D18" s="7" t="s">
        <v>47</v>
      </c>
      <c r="E18" s="9"/>
    </row>
    <row r="19" customFormat="false" ht="15" hidden="false" customHeight="false" outlineLevel="0" collapsed="false">
      <c r="A19" s="7" t="s">
        <v>45</v>
      </c>
      <c r="B19" s="7" t="s">
        <v>50</v>
      </c>
      <c r="C19" s="14" t="n">
        <f aca="false">Stage7_Annual!B28</f>
        <v>-0.0151480458155877</v>
      </c>
      <c r="D19" s="7" t="s">
        <v>25</v>
      </c>
      <c r="E19" s="9" t="s">
        <v>51</v>
      </c>
    </row>
    <row r="20" customFormat="false" ht="15" hidden="false" customHeight="false" outlineLevel="0" collapsed="false">
      <c r="A20" s="7" t="s">
        <v>52</v>
      </c>
      <c r="B20" s="7" t="s">
        <v>53</v>
      </c>
      <c r="C20" s="15" t="n">
        <f aca="false">Economics!B8</f>
        <v>2</v>
      </c>
      <c r="D20" s="7" t="s">
        <v>54</v>
      </c>
      <c r="E20" s="9" t="s">
        <v>55</v>
      </c>
    </row>
    <row r="21" customFormat="false" ht="15" hidden="false" customHeight="false" outlineLevel="0" collapsed="false">
      <c r="A21" s="7" t="s">
        <v>52</v>
      </c>
      <c r="B21" s="7" t="s">
        <v>56</v>
      </c>
      <c r="C21" s="14" t="n">
        <f aca="false">Economics!B18</f>
        <v>0.858381327333744</v>
      </c>
      <c r="D21" s="7" t="s">
        <v>25</v>
      </c>
      <c r="E21" s="9"/>
    </row>
    <row r="22" customFormat="false" ht="15" hidden="false" customHeight="false" outlineLevel="0" collapsed="false">
      <c r="A22" s="7" t="s">
        <v>52</v>
      </c>
      <c r="B22" s="7" t="s">
        <v>57</v>
      </c>
      <c r="C22" s="14" t="n">
        <f aca="false">Economics!C18</f>
        <v>0.830362770945463</v>
      </c>
      <c r="D22" s="7" t="s">
        <v>25</v>
      </c>
      <c r="E22" s="9"/>
    </row>
    <row r="23" customFormat="false" ht="15" hidden="false" customHeight="false" outlineLevel="0" collapsed="false">
      <c r="A23" s="7" t="s">
        <v>52</v>
      </c>
      <c r="B23" s="7" t="s">
        <v>58</v>
      </c>
      <c r="C23" s="12" t="n">
        <f aca="false">Economics!B20</f>
        <v>4.33937580626417</v>
      </c>
      <c r="D23" s="7" t="s">
        <v>59</v>
      </c>
      <c r="E23" s="9"/>
    </row>
    <row r="24" customFormat="false" ht="15" hidden="false" customHeight="false" outlineLevel="0" collapsed="false">
      <c r="A24" s="7" t="s">
        <v>52</v>
      </c>
      <c r="B24" s="7" t="s">
        <v>60</v>
      </c>
      <c r="C24" s="12" t="n">
        <f aca="false">Economics!C20</f>
        <v>4.4850593798717</v>
      </c>
      <c r="D24" s="7" t="s">
        <v>59</v>
      </c>
      <c r="E24" s="9"/>
    </row>
    <row r="25" customFormat="false" ht="15" hidden="false" customHeight="false" outlineLevel="0" collapsed="false">
      <c r="A25" s="7" t="s">
        <v>52</v>
      </c>
      <c r="B25" s="7" t="s">
        <v>61</v>
      </c>
      <c r="C25" s="12" t="n">
        <f aca="false">Economics!B15</f>
        <v>4.94736842105263</v>
      </c>
      <c r="D25" s="7" t="s">
        <v>59</v>
      </c>
      <c r="E25" s="9" t="s">
        <v>62</v>
      </c>
    </row>
    <row r="26" customFormat="false" ht="15" hidden="false" customHeight="false" outlineLevel="0" collapsed="false">
      <c r="A26" s="7" t="s">
        <v>52</v>
      </c>
      <c r="B26" s="7" t="s">
        <v>63</v>
      </c>
      <c r="C26" s="16" t="n">
        <f aca="false">Economics!B21</f>
        <v>7.35635187726697</v>
      </c>
      <c r="D26" s="7" t="s">
        <v>64</v>
      </c>
      <c r="E26" s="9"/>
    </row>
    <row r="27" customFormat="false" ht="15" hidden="false" customHeight="false" outlineLevel="0" collapsed="false">
      <c r="A27" s="7" t="s">
        <v>52</v>
      </c>
      <c r="B27" s="7" t="s">
        <v>65</v>
      </c>
      <c r="C27" s="16" t="n">
        <f aca="false">Economics!C21</f>
        <v>7.64033576930842</v>
      </c>
      <c r="D27" s="7" t="s">
        <v>64</v>
      </c>
      <c r="E27" s="9"/>
    </row>
    <row r="28" customFormat="false" ht="15" hidden="false" customHeight="false" outlineLevel="0" collapsed="false">
      <c r="A28" s="7" t="s">
        <v>52</v>
      </c>
      <c r="B28" s="7" t="s">
        <v>66</v>
      </c>
      <c r="C28" s="12" t="n">
        <f aca="false">Economics!B4</f>
        <v>4.7</v>
      </c>
      <c r="D28" s="7" t="s">
        <v>59</v>
      </c>
      <c r="E28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9" min="1" style="0" width="14"/>
  </cols>
  <sheetData>
    <row r="1" customFormat="false" ht="26.85" hidden="false" customHeight="false" outlineLevel="0" collapsed="false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  <c r="W1" s="6" t="s">
        <v>90</v>
      </c>
      <c r="X1" s="6" t="s">
        <v>91</v>
      </c>
      <c r="Y1" s="6" t="s">
        <v>92</v>
      </c>
      <c r="Z1" s="6" t="s">
        <v>93</v>
      </c>
      <c r="AA1" s="6" t="s">
        <v>94</v>
      </c>
      <c r="AB1" s="6" t="s">
        <v>95</v>
      </c>
      <c r="AC1" s="6" t="s">
        <v>96</v>
      </c>
      <c r="AD1" s="6" t="s">
        <v>97</v>
      </c>
      <c r="AE1" s="6" t="s">
        <v>98</v>
      </c>
      <c r="AF1" s="6" t="s">
        <v>99</v>
      </c>
      <c r="AG1" s="6" t="s">
        <v>100</v>
      </c>
      <c r="AH1" s="6" t="s">
        <v>101</v>
      </c>
      <c r="AI1" s="6" t="s">
        <v>102</v>
      </c>
      <c r="AJ1" s="6" t="s">
        <v>103</v>
      </c>
      <c r="AK1" s="6" t="s">
        <v>104</v>
      </c>
      <c r="AL1" s="6" t="s">
        <v>105</v>
      </c>
      <c r="AM1" s="6" t="s">
        <v>106</v>
      </c>
      <c r="AN1" s="6" t="s">
        <v>107</v>
      </c>
      <c r="AO1" s="6" t="s">
        <v>108</v>
      </c>
      <c r="AP1" s="6" t="s">
        <v>109</v>
      </c>
      <c r="AQ1" s="6" t="s">
        <v>110</v>
      </c>
      <c r="AR1" s="6" t="s">
        <v>111</v>
      </c>
      <c r="AS1" s="6" t="s">
        <v>112</v>
      </c>
      <c r="AT1" s="6" t="s">
        <v>113</v>
      </c>
      <c r="AU1" s="6" t="s">
        <v>114</v>
      </c>
      <c r="AV1" s="6" t="s">
        <v>115</v>
      </c>
      <c r="AW1" s="6" t="s">
        <v>116</v>
      </c>
      <c r="AX1" s="6" t="s">
        <v>117</v>
      </c>
      <c r="AY1" s="6" t="s">
        <v>118</v>
      </c>
      <c r="AZ1" s="6" t="s">
        <v>119</v>
      </c>
      <c r="BA1" s="6" t="s">
        <v>120</v>
      </c>
      <c r="BB1" s="6" t="s">
        <v>121</v>
      </c>
      <c r="BC1" s="6" t="s">
        <v>122</v>
      </c>
      <c r="BD1" s="6" t="s">
        <v>123</v>
      </c>
      <c r="BE1" s="6" t="s">
        <v>124</v>
      </c>
      <c r="BF1" s="6" t="s">
        <v>125</v>
      </c>
      <c r="BG1" s="6" t="s">
        <v>126</v>
      </c>
    </row>
    <row r="2" customFormat="false" ht="15" hidden="false" customHeight="false" outlineLevel="0" collapsed="false">
      <c r="A2" s="2" t="s">
        <v>127</v>
      </c>
      <c r="B2" s="2" t="s">
        <v>128</v>
      </c>
      <c r="C2" s="2" t="s">
        <v>129</v>
      </c>
      <c r="D2" s="2" t="s">
        <v>130</v>
      </c>
      <c r="E2" s="2" t="n">
        <v>1</v>
      </c>
      <c r="F2" s="2" t="n">
        <v>833.0998180592153</v>
      </c>
      <c r="G2" s="2" t="n">
        <v>292.06544238494786</v>
      </c>
      <c r="H2" s="2" t="n">
        <v>289.5494984747478</v>
      </c>
      <c r="I2" s="2" t="n">
        <v>3.0065091853244392</v>
      </c>
      <c r="J2" s="2" t="n">
        <v>0.003751271843434751</v>
      </c>
      <c r="K2" s="2" t="n">
        <v>0.0003126059869528959</v>
      </c>
      <c r="L2" s="2" t="n">
        <v>23.829625230697392</v>
      </c>
      <c r="M2" s="2" t="n">
        <v>0.9381791981459208</v>
      </c>
      <c r="N2" s="2" t="n">
        <v>1.926904166501923</v>
      </c>
      <c r="O2" s="2" t="n">
        <v>5.198875</v>
      </c>
      <c r="P2" s="2" t="n">
        <v>4.877476378760875</v>
      </c>
      <c r="Q2" s="2" t="n">
        <v>28.056939</v>
      </c>
      <c r="R2" s="2" t="n">
        <v>24.69516240019809</v>
      </c>
      <c r="S2" s="2" t="n">
        <v>68.28911555417666</v>
      </c>
      <c r="T2" s="2" t="n">
        <v>72.78898923482123</v>
      </c>
      <c r="U2" s="2" t="n">
        <v>0.0008482324657072429</v>
      </c>
      <c r="V2" s="2" t="n">
        <v>14.305338800237765</v>
      </c>
      <c r="W2" s="2" t="n">
        <v>5.382468871828143e-05</v>
      </c>
      <c r="X2" s="2" t="n">
        <v>540.6043036373511</v>
      </c>
      <c r="Y2" s="2" t="n">
        <v>271.97144160341844</v>
      </c>
      <c r="Z2" s="2" t="n">
        <v>17.12473490423287</v>
      </c>
      <c r="AA2" s="2" t="n">
        <v>308.54332306242924</v>
      </c>
      <c r="AB2" s="2" t="n">
        <v>16.47788067748138</v>
      </c>
      <c r="AC2" s="2" t="n">
        <v>258.37838106813814</v>
      </c>
      <c r="AD2" s="2" t="n">
        <v>0.5873881902737962</v>
      </c>
      <c r="AE2" s="2" t="n">
        <v>311.46567982455093</v>
      </c>
      <c r="AF2" s="2" t="n">
        <v>316.34757843507214</v>
      </c>
      <c r="AG2" s="2" t="n">
        <v>299.3664727329311</v>
      </c>
      <c r="AH2" s="2" t="n">
        <v>16.981105702141065</v>
      </c>
      <c r="AI2" s="2" t="n">
        <v>4.063354804148345</v>
      </c>
      <c r="AJ2" s="2" t="n">
        <v>315.84227184371343</v>
      </c>
      <c r="AK2" s="2" t="n">
        <v>316.05255383882553</v>
      </c>
      <c r="AL2" s="2" t="n">
        <v>316.24920077248714</v>
      </c>
      <c r="AM2" s="2" t="n">
        <v>9420648699.197672</v>
      </c>
      <c r="AN2" s="2" t="n">
        <v>9411108841.613081</v>
      </c>
      <c r="AO2" s="2" t="n">
        <v>311.54458151004985</v>
      </c>
      <c r="AP2" s="2" t="n">
        <v>285.4390723205214</v>
      </c>
      <c r="AQ2" s="2" t="n">
        <v>3.018433445739331</v>
      </c>
      <c r="AR2" s="2" t="n">
        <v>20.889207174976406</v>
      </c>
      <c r="AS2" s="2" t="n">
        <v>3.152859147669377</v>
      </c>
      <c r="AT2" s="2" t="n">
        <v>2.338514560182729</v>
      </c>
      <c r="AU2" s="2" t="n">
        <v>288.0700982039423</v>
      </c>
      <c r="AV2" s="2" t="n">
        <v>219.64266786610594</v>
      </c>
      <c r="AW2" s="2" t="n">
        <v>6.883376697727558e-05</v>
      </c>
      <c r="AX2" s="2" t="n">
        <v>348</v>
      </c>
      <c r="AY2" s="2" t="n">
        <v>9.68859183103632e-07</v>
      </c>
      <c r="AZ2" s="2" t="s">
        <v>131</v>
      </c>
      <c r="BA2" s="2" t="n">
        <v>4.48</v>
      </c>
      <c r="BB2" s="2" t="s">
        <v>132</v>
      </c>
      <c r="BC2" s="2" t="n">
        <v>4</v>
      </c>
      <c r="BD2" s="2" t="s">
        <v>133</v>
      </c>
      <c r="BE2" s="2" t="n">
        <v>3000</v>
      </c>
      <c r="BF2" s="2" t="s">
        <v>134</v>
      </c>
      <c r="BG2" s="2" t="n">
        <v>120</v>
      </c>
    </row>
    <row r="3" customFormat="false" ht="15" hidden="false" customHeight="false" outlineLevel="0" collapsed="false">
      <c r="A3" s="2" t="s">
        <v>135</v>
      </c>
      <c r="B3" s="2" t="s">
        <v>128</v>
      </c>
      <c r="C3" s="2" t="s">
        <v>129</v>
      </c>
      <c r="D3" s="2" t="s">
        <v>130</v>
      </c>
      <c r="E3" s="2" t="n">
        <v>1</v>
      </c>
      <c r="F3" s="2" t="n">
        <v>484.5320756111663</v>
      </c>
      <c r="G3" s="2" t="n">
        <v>326.79041688252545</v>
      </c>
      <c r="H3" s="2" t="n">
        <v>287.06705190862976</v>
      </c>
      <c r="I3" s="2" t="n">
        <v>3.33261531333765</v>
      </c>
      <c r="J3" s="2" t="n">
        <v>0.0028023535364404407</v>
      </c>
      <c r="K3" s="2" t="n">
        <v>0.00023352946137003672</v>
      </c>
      <c r="L3" s="2" t="n">
        <v>20.21086700464004</v>
      </c>
      <c r="M3" s="2" t="n">
        <v>0.6723063356073826</v>
      </c>
      <c r="N3" s="2" t="n">
        <v>0.5626446050661631</v>
      </c>
      <c r="O3" s="2" t="n">
        <v>5.198875</v>
      </c>
      <c r="P3" s="2" t="n">
        <v>3.495236600530832</v>
      </c>
      <c r="Q3" s="2" t="n">
        <v>28.056939</v>
      </c>
      <c r="R3" s="2" t="n">
        <v>12.681618838501977</v>
      </c>
      <c r="S3" s="2" t="n">
        <v>90.8209533858227</v>
      </c>
      <c r="T3" s="2" t="n">
        <v>135.08864720689002</v>
      </c>
      <c r="U3" s="2" t="n">
        <v>0.00047645809355117855</v>
      </c>
      <c r="V3" s="2" t="n">
        <v>15.515524106136558</v>
      </c>
      <c r="W3" s="2" t="n">
        <v>4.3610816297451045e-05</v>
      </c>
      <c r="X3" s="2" t="n">
        <v>314.416255588615</v>
      </c>
      <c r="Y3" s="2" t="n">
        <v>268.4813368312973</v>
      </c>
      <c r="Z3" s="2" t="n">
        <v>18.36393819068307</v>
      </c>
      <c r="AA3" s="2" t="n">
        <v>335.8181951486811</v>
      </c>
      <c r="AB3" s="2" t="n">
        <v>9.027778266155678</v>
      </c>
      <c r="AC3" s="2" t="n">
        <v>105.74993014451113</v>
      </c>
      <c r="AD3" s="2" t="n">
        <v>0.41335541791407665</v>
      </c>
      <c r="AE3" s="2" t="n">
        <v>338.7246705492696</v>
      </c>
      <c r="AF3" s="2" t="n">
        <v>342.1140083914055</v>
      </c>
      <c r="AG3" s="2" t="n">
        <v>330.63218832002184</v>
      </c>
      <c r="AH3" s="2" t="n">
        <v>11.481820071383652</v>
      </c>
      <c r="AI3" s="2" t="n">
        <v>2.868268463512721</v>
      </c>
      <c r="AJ3" s="2" t="n">
        <v>341.80600994098467</v>
      </c>
      <c r="AK3" s="2" t="n">
        <v>341.93832555739397</v>
      </c>
      <c r="AL3" s="2" t="n">
        <v>342.0580922036414</v>
      </c>
      <c r="AM3" s="2" t="n">
        <v>13169609463.597118</v>
      </c>
      <c r="AN3" s="2" t="n">
        <v>13163983102.968145</v>
      </c>
      <c r="AO3" s="2" t="n">
        <v>338.7608579584603</v>
      </c>
      <c r="AP3" s="2" t="n">
        <v>166.01178295078873</v>
      </c>
      <c r="AQ3" s="2" t="n">
        <v>7.497195772439804</v>
      </c>
      <c r="AR3" s="2" t="n">
        <v>45.332992145075586</v>
      </c>
      <c r="AS3" s="2" t="n">
        <v>7.431458650501644</v>
      </c>
      <c r="AT3" s="2" t="n">
        <v>2.209399116431525</v>
      </c>
      <c r="AU3" s="2" t="n">
        <v>287.95243640210526</v>
      </c>
      <c r="AV3" s="2" t="n">
        <v>117.09651720152473</v>
      </c>
      <c r="AW3" s="2" t="n">
        <v>0.00012438559785389264</v>
      </c>
      <c r="AX3" s="2" t="n">
        <v>413</v>
      </c>
      <c r="AY3" s="2" t="n">
        <v>9.96483720427932e-07</v>
      </c>
      <c r="AZ3" s="2" t="s">
        <v>131</v>
      </c>
      <c r="BA3" s="2" t="n">
        <v>4.48</v>
      </c>
      <c r="BB3" s="2" t="s">
        <v>132</v>
      </c>
      <c r="BC3" s="2" t="n">
        <v>4</v>
      </c>
      <c r="BD3" s="2" t="s">
        <v>133</v>
      </c>
      <c r="BE3" s="2" t="n">
        <v>3000</v>
      </c>
      <c r="BF3" s="2" t="s">
        <v>134</v>
      </c>
      <c r="BG3" s="2" t="n">
        <v>120</v>
      </c>
    </row>
    <row r="4" customFormat="false" ht="15" hidden="false" customHeight="false" outlineLevel="0" collapsed="false">
      <c r="A4" s="2" t="s">
        <v>136</v>
      </c>
      <c r="B4" s="2" t="s">
        <v>128</v>
      </c>
      <c r="C4" s="2" t="s">
        <v>129</v>
      </c>
      <c r="D4" s="2" t="s">
        <v>130</v>
      </c>
      <c r="E4" s="2" t="n">
        <v>1</v>
      </c>
      <c r="F4" s="2" t="n">
        <v>419.95032765710994</v>
      </c>
      <c r="G4" s="2" t="n">
        <v>290.3043677028324</v>
      </c>
      <c r="H4" s="2" t="n">
        <v>297.28222061625</v>
      </c>
      <c r="I4" s="2" t="n">
        <v>3.0624161357873176</v>
      </c>
      <c r="J4" s="2" t="n">
        <v>0.002287071793785387</v>
      </c>
      <c r="K4" s="2" t="n">
        <v>0.00019058931614878227</v>
      </c>
      <c r="L4" s="2" t="n">
        <v>28.382706470356656</v>
      </c>
      <c r="M4" s="2" t="n">
        <v>0.8240635844809214</v>
      </c>
      <c r="N4" s="2" t="n">
        <v>1.4522044719395197</v>
      </c>
      <c r="O4" s="2" t="n">
        <v>5.198875</v>
      </c>
      <c r="P4" s="2" t="n">
        <v>4.284203567768251</v>
      </c>
      <c r="Q4" s="2" t="n">
        <v>28.056939</v>
      </c>
      <c r="R4" s="2" t="n">
        <v>19.05292833666524</v>
      </c>
      <c r="S4" s="2" t="n">
        <v>38.64943450091525</v>
      </c>
      <c r="T4" s="2" t="n">
        <v>46.90103437256066</v>
      </c>
      <c r="U4" s="2" t="n">
        <v>0.0009137439099790477</v>
      </c>
      <c r="V4" s="2" t="n">
        <v>11.973003830130647</v>
      </c>
      <c r="W4" s="2" t="n">
        <v>2.7465515894459587e-05</v>
      </c>
      <c r="X4" s="2" t="n">
        <v>272.5087072689922</v>
      </c>
      <c r="Y4" s="2" t="n">
        <v>282.9387837388334</v>
      </c>
      <c r="Z4" s="2" t="n">
        <v>17.337181315991806</v>
      </c>
      <c r="AA4" s="2" t="n">
        <v>303.7275886608442</v>
      </c>
      <c r="AB4" s="2" t="n">
        <v>13.423220958011825</v>
      </c>
      <c r="AC4" s="2" t="n">
        <v>128.325456745538</v>
      </c>
      <c r="AD4" s="2" t="n">
        <v>0.578736630904794</v>
      </c>
      <c r="AE4" s="2" t="n">
        <v>308.89069136891356</v>
      </c>
      <c r="AF4" s="2" t="n">
        <v>314.22283322254975</v>
      </c>
      <c r="AG4" s="2" t="n">
        <v>296.47764037820787</v>
      </c>
      <c r="AH4" s="2" t="n">
        <v>17.745192844341886</v>
      </c>
      <c r="AI4" s="2" t="n">
        <v>4.555545918974273</v>
      </c>
      <c r="AJ4" s="2" t="n">
        <v>313.82852229755036</v>
      </c>
      <c r="AK4" s="2" t="n">
        <v>313.9929727920769</v>
      </c>
      <c r="AL4" s="2" t="n">
        <v>314.1520012864585</v>
      </c>
      <c r="AM4" s="2" t="n">
        <v>9115494149.626812</v>
      </c>
      <c r="AN4" s="2" t="n">
        <v>9103728199.251379</v>
      </c>
      <c r="AO4" s="2" t="n">
        <v>308.9904480933378</v>
      </c>
      <c r="AP4" s="2" t="n">
        <v>143.8845974380279</v>
      </c>
      <c r="AQ4" s="2" t="n">
        <v>1.7944653425402957</v>
      </c>
      <c r="AR4" s="2" t="n">
        <v>12.094492625565648</v>
      </c>
      <c r="AS4" s="2" t="n">
        <v>1.6699931716579242</v>
      </c>
      <c r="AT4" s="2" t="n">
        <v>2.538497113118068</v>
      </c>
      <c r="AU4" s="2" t="n">
        <v>295.34505093310855</v>
      </c>
      <c r="AV4" s="2" t="n">
        <v>155.24974542350608</v>
      </c>
      <c r="AW4" s="2" t="n">
        <v>0.0001331505465296474</v>
      </c>
      <c r="AX4" s="2" t="n">
        <v>612</v>
      </c>
      <c r="AY4" s="2" t="n">
        <v>9.803202374314424e-07</v>
      </c>
      <c r="AZ4" s="2" t="s">
        <v>131</v>
      </c>
      <c r="BA4" s="2" t="n">
        <v>4.48</v>
      </c>
      <c r="BB4" s="2" t="s">
        <v>132</v>
      </c>
      <c r="BC4" s="2" t="n">
        <v>4</v>
      </c>
      <c r="BD4" s="2" t="s">
        <v>133</v>
      </c>
      <c r="BE4" s="2" t="n">
        <v>3000</v>
      </c>
      <c r="BF4" s="2" t="s">
        <v>134</v>
      </c>
      <c r="BG4" s="2" t="n">
        <v>120</v>
      </c>
    </row>
    <row r="5" customFormat="false" ht="15" hidden="false" customHeight="false" outlineLevel="0" collapsed="false">
      <c r="A5" s="2" t="s">
        <v>137</v>
      </c>
      <c r="B5" s="2" t="s">
        <v>128</v>
      </c>
      <c r="C5" s="2" t="s">
        <v>129</v>
      </c>
      <c r="D5" s="2" t="s">
        <v>130</v>
      </c>
      <c r="E5" s="2" t="n">
        <v>1</v>
      </c>
      <c r="F5" s="2" t="n">
        <v>882.516114248624</v>
      </c>
      <c r="G5" s="2" t="n">
        <v>309.9996398235053</v>
      </c>
      <c r="H5" s="2" t="n">
        <v>296.54320210335237</v>
      </c>
      <c r="I5" s="2" t="n">
        <v>2.43910756139583</v>
      </c>
      <c r="J5" s="2" t="n">
        <v>0.002390127427989617</v>
      </c>
      <c r="K5" s="2" t="n">
        <v>0.0001991772856658014</v>
      </c>
      <c r="L5" s="2" t="n">
        <v>24.91944925697403</v>
      </c>
      <c r="M5" s="2" t="n">
        <v>0.6606925390638025</v>
      </c>
      <c r="N5" s="2" t="n">
        <v>1.5280476574877842</v>
      </c>
      <c r="O5" s="2" t="n">
        <v>5.198875</v>
      </c>
      <c r="P5" s="2" t="n">
        <v>3.4348579240253265</v>
      </c>
      <c r="Q5" s="2" t="n">
        <v>28.056939</v>
      </c>
      <c r="R5" s="2" t="n">
        <v>12.247264379472528</v>
      </c>
      <c r="S5" s="2" t="n">
        <v>66.90191387966846</v>
      </c>
      <c r="T5" s="2" t="n">
        <v>101.26028360251816</v>
      </c>
      <c r="U5" s="2" t="n">
        <v>0.0005516585521989645</v>
      </c>
      <c r="V5" s="2" t="n">
        <v>11.262996116950069</v>
      </c>
      <c r="W5" s="2" t="n">
        <v>2.7000998937274735e-05</v>
      </c>
      <c r="X5" s="2" t="n">
        <v>572.6708841487317</v>
      </c>
      <c r="Y5" s="2" t="n">
        <v>281.88439678877205</v>
      </c>
      <c r="Z5" s="2" t="n">
        <v>14.968608733304155</v>
      </c>
      <c r="AA5" s="2" t="n">
        <v>334.66255793977246</v>
      </c>
      <c r="AB5" s="2" t="n">
        <v>24.66291811626718</v>
      </c>
      <c r="AC5" s="2" t="n">
        <v>246.40062124372017</v>
      </c>
      <c r="AD5" s="2" t="n">
        <v>0.52879243305596</v>
      </c>
      <c r="AE5" s="2" t="n">
        <v>344.289981974232</v>
      </c>
      <c r="AF5" s="2" t="n">
        <v>354.28053535622</v>
      </c>
      <c r="AG5" s="2" t="n">
        <v>320.948325912705</v>
      </c>
      <c r="AH5" s="2" t="n">
        <v>33.33220944351501</v>
      </c>
      <c r="AI5" s="2" t="n">
        <v>8.507699047443293</v>
      </c>
      <c r="AJ5" s="2" t="n">
        <v>353.48462257125595</v>
      </c>
      <c r="AK5" s="2" t="n">
        <v>353.8256513296656</v>
      </c>
      <c r="AL5" s="2" t="n">
        <v>354.13963357428594</v>
      </c>
      <c r="AM5" s="2" t="n">
        <v>14101452268.234262</v>
      </c>
      <c r="AN5" s="2" t="n">
        <v>14050686496.780867</v>
      </c>
      <c r="AO5" s="2" t="n">
        <v>344.60054536425577</v>
      </c>
      <c r="AP5" s="2" t="n">
        <v>302.3702268305304</v>
      </c>
      <c r="AQ5" s="2" t="n">
        <v>7.447916110292025</v>
      </c>
      <c r="AR5" s="2" t="n">
        <v>41.652639087127916</v>
      </c>
      <c r="AS5" s="2" t="n">
        <v>6.868845867120487</v>
      </c>
      <c r="AT5" s="2" t="n">
        <v>2.220108689439826</v>
      </c>
      <c r="AU5" s="2" t="n">
        <v>297.6396850379262</v>
      </c>
      <c r="AV5" s="2" t="n">
        <v>300.9854174345317</v>
      </c>
      <c r="AW5" s="2" t="n">
        <v>6.80216230007013e-05</v>
      </c>
      <c r="AX5" s="2" t="n">
        <v>680</v>
      </c>
      <c r="AY5" s="2" t="n">
        <v>9.95550522020494e-07</v>
      </c>
      <c r="AZ5" s="2" t="s">
        <v>131</v>
      </c>
      <c r="BA5" s="2" t="n">
        <v>4.48</v>
      </c>
      <c r="BB5" s="2" t="s">
        <v>132</v>
      </c>
      <c r="BC5" s="2" t="n">
        <v>4</v>
      </c>
      <c r="BD5" s="2" t="s">
        <v>133</v>
      </c>
      <c r="BE5" s="2" t="n">
        <v>3000</v>
      </c>
      <c r="BF5" s="2" t="s">
        <v>134</v>
      </c>
      <c r="BG5" s="2" t="n">
        <v>120</v>
      </c>
    </row>
    <row r="6" customFormat="false" ht="15" hidden="false" customHeight="false" outlineLevel="0" collapsed="false">
      <c r="A6" s="2" t="s">
        <v>138</v>
      </c>
      <c r="B6" s="2" t="s">
        <v>128</v>
      </c>
      <c r="C6" s="2" t="s">
        <v>129</v>
      </c>
      <c r="D6" s="2" t="s">
        <v>130</v>
      </c>
      <c r="E6" s="2" t="n">
        <v>1</v>
      </c>
      <c r="F6" s="2" t="n">
        <v>475.1486762466718</v>
      </c>
      <c r="G6" s="2" t="n">
        <v>302.63575277943465</v>
      </c>
      <c r="H6" s="2" t="n">
        <v>311.734161120509</v>
      </c>
      <c r="I6" s="2" t="n">
        <v>4.9430841329226505</v>
      </c>
      <c r="J6" s="2" t="n">
        <v>0.0014730988373608993</v>
      </c>
      <c r="K6" s="2" t="n">
        <v>0.0001227582364467416</v>
      </c>
      <c r="L6" s="2" t="n">
        <v>27.529365867418345</v>
      </c>
      <c r="M6" s="2" t="n">
        <v>0.7968689795538508</v>
      </c>
      <c r="N6" s="2" t="n">
        <v>1.9054237368625886</v>
      </c>
      <c r="O6" s="2" t="n">
        <v>5.198875</v>
      </c>
      <c r="P6" s="2" t="n">
        <v>4.142822216078026</v>
      </c>
      <c r="Q6" s="2" t="n">
        <v>28.056939</v>
      </c>
      <c r="R6" s="2" t="n">
        <v>17.81616105081785</v>
      </c>
      <c r="S6" s="2" t="n">
        <v>35.12390535370547</v>
      </c>
      <c r="T6" s="2" t="n">
        <v>44.077390706525634</v>
      </c>
      <c r="U6" s="2" t="n">
        <v>0.0006476150459149645</v>
      </c>
      <c r="V6" s="2" t="n">
        <v>5.492520250441825</v>
      </c>
      <c r="W6" s="2" t="n">
        <v>8.115371309034151e-06</v>
      </c>
      <c r="X6" s="2" t="n">
        <v>308.32730205719906</v>
      </c>
      <c r="Y6" s="2" t="n">
        <v>303.81951963093314</v>
      </c>
      <c r="Z6" s="2" t="n">
        <v>24.483719705106072</v>
      </c>
      <c r="AA6" s="2" t="n">
        <v>324.20915084657076</v>
      </c>
      <c r="AB6" s="2" t="n">
        <v>21.57339806713611</v>
      </c>
      <c r="AC6" s="2" t="n">
        <v>132.8393450124003</v>
      </c>
      <c r="AD6" s="2" t="n">
        <v>0.5294967263119965</v>
      </c>
      <c r="AE6" s="2" t="n">
        <v>336.76881442800465</v>
      </c>
      <c r="AF6" s="2" t="n">
        <v>346.7795046338149</v>
      </c>
      <c r="AG6" s="2" t="n">
        <v>313.3895245344166</v>
      </c>
      <c r="AH6" s="2" t="n">
        <v>33.389980099398315</v>
      </c>
      <c r="AI6" s="2" t="n">
        <v>8.787514149258653</v>
      </c>
      <c r="AJ6" s="2" t="n">
        <v>346.2845288816712</v>
      </c>
      <c r="AK6" s="2" t="n">
        <v>346.4991869725806</v>
      </c>
      <c r="AL6" s="2" t="n">
        <v>346.69821949940194</v>
      </c>
      <c r="AM6" s="2" t="n">
        <v>12914269619.670317</v>
      </c>
      <c r="AN6" s="2" t="n">
        <v>12862561730.546682</v>
      </c>
      <c r="AO6" s="2" t="n">
        <v>337.10676061367917</v>
      </c>
      <c r="AP6" s="2" t="n">
        <v>162.79681548620113</v>
      </c>
      <c r="AQ6" s="2" t="n">
        <v>4.115481789591456</v>
      </c>
      <c r="AR6" s="2" t="n">
        <v>22.240303106513956</v>
      </c>
      <c r="AS6" s="2" t="n">
        <v>3.6014821391308582</v>
      </c>
      <c r="AT6" s="2" t="n">
        <v>2.2663638587764967</v>
      </c>
      <c r="AU6" s="2" t="n">
        <v>311.86002673505504</v>
      </c>
      <c r="AV6" s="2" t="n">
        <v>200.13172176456615</v>
      </c>
      <c r="AW6" s="2" t="n">
        <v>0.00012463164604149284</v>
      </c>
      <c r="AX6" s="2" t="n">
        <v>1085</v>
      </c>
      <c r="AY6" s="2" t="n">
        <v>9.95122945823823e-07</v>
      </c>
      <c r="AZ6" s="2" t="s">
        <v>131</v>
      </c>
      <c r="BA6" s="2" t="n">
        <v>4.48</v>
      </c>
      <c r="BB6" s="2" t="s">
        <v>132</v>
      </c>
      <c r="BC6" s="2" t="n">
        <v>4</v>
      </c>
      <c r="BD6" s="2" t="s">
        <v>133</v>
      </c>
      <c r="BE6" s="2" t="n">
        <v>3000</v>
      </c>
      <c r="BF6" s="2" t="s">
        <v>134</v>
      </c>
      <c r="BG6" s="2" t="n">
        <v>120</v>
      </c>
    </row>
    <row r="7" customFormat="false" ht="15" hidden="false" customHeight="false" outlineLevel="0" collapsed="false">
      <c r="A7" s="2" t="s">
        <v>139</v>
      </c>
      <c r="B7" s="2" t="s">
        <v>128</v>
      </c>
      <c r="C7" s="2" t="s">
        <v>129</v>
      </c>
      <c r="D7" s="2" t="s">
        <v>130</v>
      </c>
      <c r="E7" s="2" t="n">
        <v>1</v>
      </c>
      <c r="F7" s="2" t="n">
        <v>602.7356684887246</v>
      </c>
      <c r="G7" s="2" t="n">
        <v>315.60430496369514</v>
      </c>
      <c r="H7" s="2" t="n">
        <v>284.3833122762884</v>
      </c>
      <c r="I7" s="2" t="n">
        <v>3.6742844047716505</v>
      </c>
      <c r="J7" s="2" t="n">
        <v>0.003590308016397938</v>
      </c>
      <c r="K7" s="2" t="n">
        <v>0.0002991923346998282</v>
      </c>
      <c r="L7" s="2" t="n">
        <v>20.987311756247063</v>
      </c>
      <c r="M7" s="2" t="n">
        <v>0.5130161233668782</v>
      </c>
      <c r="N7" s="2" t="n">
        <v>1.8617415602498641</v>
      </c>
      <c r="O7" s="2" t="n">
        <v>5.198875</v>
      </c>
      <c r="P7" s="2" t="n">
        <v>2.667106698368979</v>
      </c>
      <c r="Q7" s="2" t="n">
        <v>28.056939</v>
      </c>
      <c r="R7" s="2" t="n">
        <v>7.384180720986087</v>
      </c>
      <c r="S7" s="2" t="n">
        <v>97.80490867094797</v>
      </c>
      <c r="T7" s="2" t="n">
        <v>190.64685146553143</v>
      </c>
      <c r="U7" s="2" t="n">
        <v>0.0005668379235333029</v>
      </c>
      <c r="V7" s="2" t="n">
        <v>26.299441844336265</v>
      </c>
      <c r="W7" s="2" t="n">
        <v>9.470721853612023e-05</v>
      </c>
      <c r="X7" s="2" t="n">
        <v>391.1193944320128</v>
      </c>
      <c r="Y7" s="2" t="n">
        <v>264.72517256773557</v>
      </c>
      <c r="Z7" s="2" t="n">
        <v>19.66228073813227</v>
      </c>
      <c r="AA7" s="2" t="n">
        <v>325.95181183157985</v>
      </c>
      <c r="AB7" s="2" t="n">
        <v>10.347506867884704</v>
      </c>
      <c r="AC7" s="2" t="n">
        <v>155.2900800643465</v>
      </c>
      <c r="AD7" s="2" t="n">
        <v>0.4879585123264864</v>
      </c>
      <c r="AE7" s="2" t="n">
        <v>328.13015556991905</v>
      </c>
      <c r="AF7" s="2" t="n">
        <v>331.4406416442449</v>
      </c>
      <c r="AG7" s="2" t="n">
        <v>320.0322155420571</v>
      </c>
      <c r="AH7" s="2" t="n">
        <v>11.408426102187832</v>
      </c>
      <c r="AI7" s="2" t="n">
        <v>2.7634128909730777</v>
      </c>
      <c r="AJ7" s="2" t="n">
        <v>331.10592044417774</v>
      </c>
      <c r="AK7" s="2" t="n">
        <v>331.2439460680799</v>
      </c>
      <c r="AL7" s="2" t="n">
        <v>331.3777515393199</v>
      </c>
      <c r="AM7" s="2" t="n">
        <v>11597605422.548544</v>
      </c>
      <c r="AN7" s="2" t="n">
        <v>11592699479.802229</v>
      </c>
      <c r="AO7" s="2" t="n">
        <v>328.16486561208103</v>
      </c>
      <c r="AP7" s="2" t="n">
        <v>206.5110402601028</v>
      </c>
      <c r="AQ7" s="2" t="n">
        <v>6.006235752285505</v>
      </c>
      <c r="AR7" s="2" t="n">
        <v>38.92110247632054</v>
      </c>
      <c r="AS7" s="2" t="n">
        <v>6.293415484135936</v>
      </c>
      <c r="AT7" s="2" t="n">
        <v>2.217517585417839</v>
      </c>
      <c r="AU7" s="2" t="n">
        <v>284.53913643159405</v>
      </c>
      <c r="AV7" s="2" t="n">
        <v>141.9992908439931</v>
      </c>
      <c r="AW7" s="2" t="n">
        <v>9.8867690110942e-05</v>
      </c>
      <c r="AX7" s="2" t="n">
        <v>323</v>
      </c>
      <c r="AY7" s="2" t="n">
        <v>9.8158676564708e-07</v>
      </c>
      <c r="AZ7" s="2" t="s">
        <v>131</v>
      </c>
      <c r="BA7" s="2" t="n">
        <v>4.48</v>
      </c>
      <c r="BB7" s="2" t="s">
        <v>132</v>
      </c>
      <c r="BC7" s="2" t="n">
        <v>4</v>
      </c>
      <c r="BD7" s="2" t="s">
        <v>133</v>
      </c>
      <c r="BE7" s="2" t="n">
        <v>3000</v>
      </c>
      <c r="BF7" s="2" t="s">
        <v>134</v>
      </c>
      <c r="BG7" s="2" t="n">
        <v>120</v>
      </c>
    </row>
    <row r="8" customFormat="false" ht="15" hidden="false" customHeight="false" outlineLevel="0" collapsed="false">
      <c r="A8" s="2" t="s">
        <v>140</v>
      </c>
      <c r="B8" s="2" t="s">
        <v>128</v>
      </c>
      <c r="C8" s="2" t="s">
        <v>129</v>
      </c>
      <c r="D8" s="2" t="s">
        <v>130</v>
      </c>
      <c r="E8" s="2" t="n">
        <v>1</v>
      </c>
      <c r="F8" s="2" t="n">
        <v>728.7408385376815</v>
      </c>
      <c r="G8" s="2" t="n">
        <v>324.7919895324646</v>
      </c>
      <c r="H8" s="2" t="n">
        <v>305.4446873685101</v>
      </c>
      <c r="I8" s="2" t="n">
        <v>0.2335732121363339</v>
      </c>
      <c r="J8" s="2" t="n">
        <v>0.0020068750396046104</v>
      </c>
      <c r="K8" s="2" t="n">
        <v>0.00016723958663371753</v>
      </c>
      <c r="L8" s="2" t="n">
        <v>20.352289447683003</v>
      </c>
      <c r="M8" s="2" t="n">
        <v>0.6676807849631763</v>
      </c>
      <c r="N8" s="2" t="n">
        <v>0.6991053871866466</v>
      </c>
      <c r="O8" s="2" t="n">
        <v>5.198875</v>
      </c>
      <c r="P8" s="2" t="n">
        <v>3.4711889409254337</v>
      </c>
      <c r="Q8" s="2" t="n">
        <v>28.056939</v>
      </c>
      <c r="R8" s="2" t="n">
        <v>12.50771692834246</v>
      </c>
      <c r="S8" s="2" t="n">
        <v>69.94862461709229</v>
      </c>
      <c r="T8" s="2" t="n">
        <v>104.76357294144698</v>
      </c>
      <c r="U8" s="2" t="n">
        <v>0.0004430257745578719</v>
      </c>
      <c r="V8" s="2" t="n">
        <v>9.798928065179844</v>
      </c>
      <c r="W8" s="2" t="n">
        <v>1.9724397340913267e-05</v>
      </c>
      <c r="X8" s="2" t="n">
        <v>472.8850313129712</v>
      </c>
      <c r="Y8" s="2" t="n">
        <v>294.6713694499947</v>
      </c>
      <c r="Z8" s="2" t="n">
        <v>6.587578206118069</v>
      </c>
      <c r="AA8" s="2" t="n">
        <v>347.3455631416354</v>
      </c>
      <c r="AB8" s="2" t="n">
        <v>22.553573609170826</v>
      </c>
      <c r="AC8" s="2" t="n">
        <v>189.19601242794423</v>
      </c>
      <c r="AD8" s="2" t="n">
        <v>0.49170536652311203</v>
      </c>
      <c r="AE8" s="2" t="n">
        <v>358.1919814813981</v>
      </c>
      <c r="AF8" s="2" t="n">
        <v>368.1727006596171</v>
      </c>
      <c r="AG8" s="2" t="n">
        <v>334.8555095880996</v>
      </c>
      <c r="AH8" s="2" t="n">
        <v>33.31719107151747</v>
      </c>
      <c r="AI8" s="2" t="n">
        <v>8.595791393359946</v>
      </c>
      <c r="AJ8" s="2" t="n">
        <v>367.4582216282156</v>
      </c>
      <c r="AK8" s="2" t="n">
        <v>367.7573314748713</v>
      </c>
      <c r="AL8" s="2" t="n">
        <v>368.04879608198985</v>
      </c>
      <c r="AM8" s="2" t="n">
        <v>16517328540.893667</v>
      </c>
      <c r="AN8" s="2" t="n">
        <v>16461273772.573336</v>
      </c>
      <c r="AO8" s="2" t="n">
        <v>358.4965262597667</v>
      </c>
      <c r="AP8" s="2" t="n">
        <v>249.6832965332488</v>
      </c>
      <c r="AQ8" s="2" t="n">
        <v>8.835975983922296</v>
      </c>
      <c r="AR8" s="2" t="n">
        <v>44.062878409737</v>
      </c>
      <c r="AS8" s="2" t="n">
        <v>7.588219229629605</v>
      </c>
      <c r="AT8" s="2" t="n">
        <v>2.171850748481325</v>
      </c>
      <c r="AU8" s="2" t="n">
        <v>308.84225462776874</v>
      </c>
      <c r="AV8" s="2" t="n">
        <v>257.7222752272113</v>
      </c>
      <c r="AW8" s="2" t="n">
        <v>8.339376586307682e-05</v>
      </c>
      <c r="AX8" s="2" t="n">
        <v>835</v>
      </c>
      <c r="AY8" s="2" t="n">
        <v>9.999461099141627e-07</v>
      </c>
      <c r="AZ8" s="2" t="s">
        <v>131</v>
      </c>
      <c r="BA8" s="2" t="n">
        <v>4.48</v>
      </c>
      <c r="BB8" s="2" t="s">
        <v>132</v>
      </c>
      <c r="BC8" s="2" t="n">
        <v>4</v>
      </c>
      <c r="BD8" s="2" t="s">
        <v>133</v>
      </c>
      <c r="BE8" s="2" t="n">
        <v>3000</v>
      </c>
      <c r="BF8" s="2" t="s">
        <v>134</v>
      </c>
      <c r="BG8" s="2" t="n">
        <v>120</v>
      </c>
    </row>
    <row r="9" customFormat="false" ht="15" hidden="false" customHeight="false" outlineLevel="0" collapsed="false">
      <c r="A9" s="2" t="s">
        <v>141</v>
      </c>
      <c r="B9" s="2" t="s">
        <v>128</v>
      </c>
      <c r="C9" s="2" t="s">
        <v>129</v>
      </c>
      <c r="D9" s="2" t="s">
        <v>130</v>
      </c>
      <c r="E9" s="2" t="n">
        <v>1</v>
      </c>
      <c r="F9" s="2" t="n">
        <v>874.7908753666511</v>
      </c>
      <c r="G9" s="2" t="n">
        <v>320.13997790194884</v>
      </c>
      <c r="H9" s="2" t="n">
        <v>301.64373464543695</v>
      </c>
      <c r="I9" s="2" t="n">
        <v>4.08516320030322</v>
      </c>
      <c r="J9" s="2" t="n">
        <v>0.004235471876394564</v>
      </c>
      <c r="K9" s="2" t="n">
        <v>0.000352955989699547</v>
      </c>
      <c r="L9" s="2" t="n">
        <v>30.967642103974345</v>
      </c>
      <c r="M9" s="2" t="n">
        <v>0.3823835204628353</v>
      </c>
      <c r="N9" s="2" t="n">
        <v>0.5324706569091636</v>
      </c>
      <c r="O9" s="2" t="n">
        <v>5.198875</v>
      </c>
      <c r="P9" s="2" t="n">
        <v>1.9879641249462232</v>
      </c>
      <c r="Q9" s="2" t="n">
        <v>28.056939</v>
      </c>
      <c r="R9" s="2" t="n">
        <v>4.102405846890012</v>
      </c>
      <c r="S9" s="2" t="n">
        <v>129.04245352293873</v>
      </c>
      <c r="T9" s="2" t="n">
        <v>337.4686580811494</v>
      </c>
      <c r="U9" s="2" t="n">
        <v>0.0005068238365293902</v>
      </c>
      <c r="V9" s="2" t="n">
        <v>120.75326107672889</v>
      </c>
      <c r="W9" s="2" t="n">
        <v>0.0005129859992712292</v>
      </c>
      <c r="X9" s="2" t="n">
        <v>567.6579225615474</v>
      </c>
      <c r="Y9" s="2" t="n">
        <v>289.18818225839686</v>
      </c>
      <c r="Z9" s="2" t="n">
        <v>21.223620161152233</v>
      </c>
      <c r="AA9" s="2" t="n">
        <v>334.7081469656277</v>
      </c>
      <c r="AB9" s="2" t="n">
        <v>14.568169063678852</v>
      </c>
      <c r="AC9" s="2" t="n">
        <v>257.9188341038516</v>
      </c>
      <c r="AD9" s="2" t="n">
        <v>0.5583993318899971</v>
      </c>
      <c r="AE9" s="2" t="n">
        <v>336.87513760174033</v>
      </c>
      <c r="AF9" s="2" t="n">
        <v>340.8714536045048</v>
      </c>
      <c r="AG9" s="2" t="n">
        <v>326.68447370343955</v>
      </c>
      <c r="AH9" s="2" t="n">
        <v>14.186979901065229</v>
      </c>
      <c r="AI9" s="2" t="n">
        <v>3.3594634908419154</v>
      </c>
      <c r="AJ9" s="2" t="n">
        <v>340.4825143306091</v>
      </c>
      <c r="AK9" s="2" t="n">
        <v>340.63427113596214</v>
      </c>
      <c r="AL9" s="2" t="n">
        <v>340.79248320349143</v>
      </c>
      <c r="AM9" s="2" t="n">
        <v>12886453347.21175</v>
      </c>
      <c r="AN9" s="2" t="n">
        <v>12878813071.13151</v>
      </c>
      <c r="AO9" s="2" t="n">
        <v>336.92508876283284</v>
      </c>
      <c r="AP9" s="2" t="n">
        <v>299.723383112497</v>
      </c>
      <c r="AQ9" s="2" t="n">
        <v>5.461134349985611</v>
      </c>
      <c r="AR9" s="2" t="n">
        <v>31.27480720601104</v>
      </c>
      <c r="AS9" s="2" t="n">
        <v>5.06838528679199</v>
      </c>
      <c r="AT9" s="2" t="n">
        <v>2.247292913981952</v>
      </c>
      <c r="AU9" s="2" t="n">
        <v>301.8478482207657</v>
      </c>
      <c r="AV9" s="2" t="n">
        <v>204.05382151301347</v>
      </c>
      <c r="AW9" s="2" t="n">
        <v>7.178391505977615e-05</v>
      </c>
      <c r="AX9" s="2" t="n">
        <v>304</v>
      </c>
      <c r="AY9" s="2" t="n">
        <v>9.949961281563446e-07</v>
      </c>
      <c r="AZ9" s="2" t="s">
        <v>131</v>
      </c>
      <c r="BA9" s="2" t="n">
        <v>4.48</v>
      </c>
      <c r="BB9" s="2" t="s">
        <v>132</v>
      </c>
      <c r="BC9" s="2" t="n">
        <v>4</v>
      </c>
      <c r="BD9" s="2" t="s">
        <v>133</v>
      </c>
      <c r="BE9" s="2" t="n">
        <v>3000</v>
      </c>
      <c r="BF9" s="2" t="s">
        <v>134</v>
      </c>
      <c r="BG9" s="2" t="n">
        <v>120</v>
      </c>
    </row>
    <row r="10" customFormat="false" ht="15" hidden="false" customHeight="false" outlineLevel="0" collapsed="false">
      <c r="A10" s="2" t="s">
        <v>142</v>
      </c>
      <c r="B10" s="2" t="s">
        <v>128</v>
      </c>
      <c r="C10" s="2" t="s">
        <v>129</v>
      </c>
      <c r="D10" s="2" t="s">
        <v>130</v>
      </c>
      <c r="E10" s="2" t="n">
        <v>1</v>
      </c>
      <c r="F10" s="2" t="n">
        <v>551.3601150513252</v>
      </c>
      <c r="G10" s="2" t="n">
        <v>327.3107326896822</v>
      </c>
      <c r="H10" s="2" t="n">
        <v>296.25551266708277</v>
      </c>
      <c r="I10" s="2" t="n">
        <v>2.2553945248509737</v>
      </c>
      <c r="J10" s="2" t="n">
        <v>0.0038415657189747494</v>
      </c>
      <c r="K10" s="2" t="n">
        <v>0.00032013047658122914</v>
      </c>
      <c r="L10" s="2" t="n">
        <v>33.13680713974689</v>
      </c>
      <c r="M10" s="2" t="n">
        <v>0.8007489895717985</v>
      </c>
      <c r="N10" s="2" t="n">
        <v>0.6410268919641401</v>
      </c>
      <c r="O10" s="2" t="n">
        <v>5.198875</v>
      </c>
      <c r="P10" s="2" t="n">
        <v>4.162993903160085</v>
      </c>
      <c r="Q10" s="2" t="n">
        <v>28.056939</v>
      </c>
      <c r="R10" s="2" t="n">
        <v>17.990079667096687</v>
      </c>
      <c r="S10" s="2" t="n">
        <v>125.21766554048685</v>
      </c>
      <c r="T10" s="2" t="n">
        <v>156.3756772361925</v>
      </c>
      <c r="U10" s="2" t="n">
        <v>0.0004737295828982529</v>
      </c>
      <c r="V10" s="2" t="n">
        <v>12.983915770805798</v>
      </c>
      <c r="W10" s="2" t="n">
        <v>5.0028651678217814e-05</v>
      </c>
      <c r="X10" s="2" t="n">
        <v>357.78143817761026</v>
      </c>
      <c r="Y10" s="2" t="n">
        <v>281.4742938545409</v>
      </c>
      <c r="Z10" s="2" t="n">
        <v>14.2704991944337</v>
      </c>
      <c r="AA10" s="2" t="n">
        <v>336.04165475179593</v>
      </c>
      <c r="AB10" s="2" t="n">
        <v>8.730922062113734</v>
      </c>
      <c r="AC10" s="2" t="n">
        <v>140.19891751541996</v>
      </c>
      <c r="AD10" s="2" t="n">
        <v>0.4815877057871623</v>
      </c>
      <c r="AE10" s="2" t="n">
        <v>337.6478979378412</v>
      </c>
      <c r="AF10" s="2" t="n">
        <v>340.2402603825906</v>
      </c>
      <c r="AG10" s="2" t="n">
        <v>331.18966438550143</v>
      </c>
      <c r="AH10" s="2" t="n">
        <v>9.050595997089147</v>
      </c>
      <c r="AI10" s="2" t="n">
        <v>2.183805483118816</v>
      </c>
      <c r="AJ10" s="2" t="n">
        <v>339.9950479611721</v>
      </c>
      <c r="AK10" s="2" t="n">
        <v>340.09400973058706</v>
      </c>
      <c r="AL10" s="2" t="n">
        <v>340.1932020135729</v>
      </c>
      <c r="AM10" s="2" t="n">
        <v>13000639140.047676</v>
      </c>
      <c r="AN10" s="2" t="n">
        <v>12997391517.106554</v>
      </c>
      <c r="AO10" s="2" t="n">
        <v>337.66898775277866</v>
      </c>
      <c r="AP10" s="2" t="n">
        <v>188.90859935777823</v>
      </c>
      <c r="AQ10" s="2" t="n">
        <v>6.247196667555083</v>
      </c>
      <c r="AR10" s="2" t="n">
        <v>36.50798634786127</v>
      </c>
      <c r="AS10" s="2" t="n">
        <v>5.954703443167944</v>
      </c>
      <c r="AT10" s="2" t="n">
        <v>2.22874774439899</v>
      </c>
      <c r="AU10" s="2" t="n">
        <v>296.7595306938881</v>
      </c>
      <c r="AV10" s="2" t="n">
        <v>120.6303350530701</v>
      </c>
      <c r="AW10" s="2" t="n">
        <v>-0.00011070240046796302</v>
      </c>
      <c r="AX10" s="2" t="n">
        <v>306</v>
      </c>
      <c r="AY10" s="2" t="n">
        <v>9.764841593096207e-07</v>
      </c>
      <c r="AZ10" s="2" t="s">
        <v>131</v>
      </c>
      <c r="BA10" s="2" t="n">
        <v>4.48</v>
      </c>
      <c r="BB10" s="2" t="s">
        <v>132</v>
      </c>
      <c r="BC10" s="2" t="n">
        <v>4</v>
      </c>
      <c r="BD10" s="2" t="s">
        <v>133</v>
      </c>
      <c r="BE10" s="2" t="n">
        <v>3000</v>
      </c>
      <c r="BF10" s="2" t="s">
        <v>134</v>
      </c>
      <c r="BG10" s="2" t="n">
        <v>120</v>
      </c>
    </row>
    <row r="11" customFormat="false" ht="15" hidden="false" customHeight="false" outlineLevel="0" collapsed="false">
      <c r="A11" s="2" t="s">
        <v>143</v>
      </c>
      <c r="B11" s="2" t="s">
        <v>128</v>
      </c>
      <c r="C11" s="2" t="s">
        <v>129</v>
      </c>
      <c r="D11" s="2" t="s">
        <v>130</v>
      </c>
      <c r="E11" s="2" t="n">
        <v>1</v>
      </c>
      <c r="F11" s="2" t="n">
        <v>664.23833401132</v>
      </c>
      <c r="G11" s="2" t="n">
        <v>292.46794144455544</v>
      </c>
      <c r="H11" s="2" t="n">
        <v>311.34424210841786</v>
      </c>
      <c r="I11" s="2" t="n">
        <v>3.090601604823307</v>
      </c>
      <c r="J11" s="2" t="n">
        <v>0.0018414546183838584</v>
      </c>
      <c r="K11" s="2" t="n">
        <v>0.0001534545515319882</v>
      </c>
      <c r="L11" s="2" t="n">
        <v>26.378163573875806</v>
      </c>
      <c r="M11" s="2" t="n">
        <v>0.9050876313544999</v>
      </c>
      <c r="N11" s="2" t="n">
        <v>1.7020758506653522</v>
      </c>
      <c r="O11" s="2" t="n">
        <v>5.198875</v>
      </c>
      <c r="P11" s="2" t="n">
        <v>4.705437459458126</v>
      </c>
      <c r="Q11" s="2" t="n">
        <v>28.056939</v>
      </c>
      <c r="R11" s="2" t="n">
        <v>22.983784868228888</v>
      </c>
      <c r="S11" s="2" t="n">
        <v>37.61351640519242</v>
      </c>
      <c r="T11" s="2" t="n">
        <v>41.5578725221361</v>
      </c>
      <c r="U11" s="2" t="n">
        <v>0.0007559706338080488</v>
      </c>
      <c r="V11" s="2" t="n">
        <v>6.665353687482778</v>
      </c>
      <c r="W11" s="2" t="n">
        <v>1.2310878967880684e-05</v>
      </c>
      <c r="X11" s="2" t="n">
        <v>431.0289046082836</v>
      </c>
      <c r="Y11" s="2" t="n">
        <v>303.2496689225302</v>
      </c>
      <c r="Z11" s="2" t="n">
        <v>17.444286098328565</v>
      </c>
      <c r="AA11" s="2" t="n">
        <v>318.8052363783332</v>
      </c>
      <c r="AB11" s="2" t="n">
        <v>26.33729493377774</v>
      </c>
      <c r="AC11" s="2" t="n">
        <v>202.72554157664896</v>
      </c>
      <c r="AD11" s="2" t="n">
        <v>0.5780303088366633</v>
      </c>
      <c r="AE11" s="2" t="n">
        <v>331.8731983282339</v>
      </c>
      <c r="AF11" s="2" t="n">
        <v>343.5365887664348</v>
      </c>
      <c r="AG11" s="2" t="n">
        <v>304.9567935744766</v>
      </c>
      <c r="AH11" s="2" t="n">
        <v>38.579795191958226</v>
      </c>
      <c r="AI11" s="2" t="n">
        <v>10.070676428459894</v>
      </c>
      <c r="AJ11" s="2" t="n">
        <v>342.8148540115932</v>
      </c>
      <c r="AK11" s="2" t="n">
        <v>343.11128484732444</v>
      </c>
      <c r="AL11" s="2" t="n">
        <v>343.40926920149013</v>
      </c>
      <c r="AM11" s="2" t="n">
        <v>12196664994.96525</v>
      </c>
      <c r="AN11" s="2" t="n">
        <v>12130779898.662176</v>
      </c>
      <c r="AO11" s="2" t="n">
        <v>332.32290363675565</v>
      </c>
      <c r="AP11" s="2" t="n">
        <v>227.58326163317375</v>
      </c>
      <c r="AQ11" s="2" t="n">
        <v>3.3680830734263396</v>
      </c>
      <c r="AR11" s="2" t="n">
        <v>18.536143498713923</v>
      </c>
      <c r="AS11" s="2" t="n">
        <v>2.9532931114540495</v>
      </c>
      <c r="AT11" s="2" t="n">
        <v>2.2932980495679316</v>
      </c>
      <c r="AU11" s="2" t="n">
        <v>311.1130108054173</v>
      </c>
      <c r="AV11" s="2" t="n">
        <v>280.7438065999696</v>
      </c>
      <c r="AW11" s="2" t="n">
        <v>8.810069396961863e-05</v>
      </c>
      <c r="AX11" s="2" t="n">
        <v>894</v>
      </c>
      <c r="AY11" s="2" t="n">
        <v>9.929684665621608e-07</v>
      </c>
      <c r="AZ11" s="2" t="s">
        <v>131</v>
      </c>
      <c r="BA11" s="2" t="n">
        <v>4.48</v>
      </c>
      <c r="BB11" s="2" t="s">
        <v>132</v>
      </c>
      <c r="BC11" s="2" t="n">
        <v>4</v>
      </c>
      <c r="BD11" s="2" t="s">
        <v>133</v>
      </c>
      <c r="BE11" s="2" t="n">
        <v>3000</v>
      </c>
      <c r="BF11" s="2" t="s">
        <v>134</v>
      </c>
      <c r="BG11" s="2" t="n">
        <v>120</v>
      </c>
    </row>
    <row r="12" customFormat="false" ht="15" hidden="false" customHeight="false" outlineLevel="0" collapsed="false">
      <c r="A12" s="2" t="s">
        <v>144</v>
      </c>
      <c r="B12" s="2" t="s">
        <v>128</v>
      </c>
      <c r="C12" s="2" t="s">
        <v>129</v>
      </c>
      <c r="D12" s="2" t="s">
        <v>130</v>
      </c>
      <c r="E12" s="2" t="n">
        <v>1</v>
      </c>
      <c r="F12" s="2" t="n">
        <v>939.2449105405487</v>
      </c>
      <c r="G12" s="2" t="n">
        <v>314.72828944652827</v>
      </c>
      <c r="H12" s="2" t="n">
        <v>300.4743681037212</v>
      </c>
      <c r="I12" s="2" t="n">
        <v>0.28098576792685104</v>
      </c>
      <c r="J12" s="2" t="n">
        <v>0.002040957418356762</v>
      </c>
      <c r="K12" s="2" t="n">
        <v>0.0001700797848630635</v>
      </c>
      <c r="L12" s="2" t="n">
        <v>30.176335304290497</v>
      </c>
      <c r="M12" s="2" t="n">
        <v>0.4072603995417007</v>
      </c>
      <c r="N12" s="2" t="n">
        <v>1.8042564112225776</v>
      </c>
      <c r="O12" s="2" t="n">
        <v>5.198875</v>
      </c>
      <c r="P12" s="2" t="n">
        <v>2.117295909667359</v>
      </c>
      <c r="Q12" s="2" t="n">
        <v>28.056939</v>
      </c>
      <c r="R12" s="2" t="n">
        <v>4.653552886336211</v>
      </c>
      <c r="S12" s="2" t="n">
        <v>64.50706013752003</v>
      </c>
      <c r="T12" s="2" t="n">
        <v>158.392665258177</v>
      </c>
      <c r="U12" s="2" t="n">
        <v>0.0004885562075230315</v>
      </c>
      <c r="V12" s="2" t="n">
        <v>21.582966065145563</v>
      </c>
      <c r="W12" s="2" t="n">
        <v>4.418246208706227e-05</v>
      </c>
      <c r="X12" s="2" t="n">
        <v>609.4825971641358</v>
      </c>
      <c r="Y12" s="2" t="n">
        <v>287.50819194956523</v>
      </c>
      <c r="Z12" s="2" t="n">
        <v>6.767745918122034</v>
      </c>
      <c r="AA12" s="2" t="n">
        <v>344.64061840885006</v>
      </c>
      <c r="AB12" s="2" t="n">
        <v>29.912328962321794</v>
      </c>
      <c r="AC12" s="2" t="n">
        <v>255.18812092919006</v>
      </c>
      <c r="AD12" s="2" t="n">
        <v>0.5145738131442318</v>
      </c>
      <c r="AE12" s="2" t="n">
        <v>358.57624875125185</v>
      </c>
      <c r="AF12" s="2" t="n">
        <v>371.4942966680189</v>
      </c>
      <c r="AG12" s="2" t="n">
        <v>328.53053467490776</v>
      </c>
      <c r="AH12" s="2" t="n">
        <v>42.96376199311112</v>
      </c>
      <c r="AI12" s="2" t="n">
        <v>11.143589959474971</v>
      </c>
      <c r="AJ12" s="2" t="n">
        <v>370.6662769017966</v>
      </c>
      <c r="AK12" s="2" t="n">
        <v>371.00816998575465</v>
      </c>
      <c r="AL12" s="2" t="n">
        <v>371.3440171913781</v>
      </c>
      <c r="AM12" s="2" t="n">
        <v>16626189609.037285</v>
      </c>
      <c r="AN12" s="2" t="n">
        <v>16532025942.944952</v>
      </c>
      <c r="AO12" s="2" t="n">
        <v>359.085759402593</v>
      </c>
      <c r="AP12" s="2" t="n">
        <v>321.8068113026637</v>
      </c>
      <c r="AQ12" s="2" t="n">
        <v>9.615926152900796</v>
      </c>
      <c r="AR12" s="2" t="n">
        <v>48.644024945639444</v>
      </c>
      <c r="AS12" s="2" t="n">
        <v>8.358529388515331</v>
      </c>
      <c r="AT12" s="2" t="n">
        <v>2.1715607251404005</v>
      </c>
      <c r="AU12" s="2" t="n">
        <v>304.0957102397696</v>
      </c>
      <c r="AV12" s="2" t="n">
        <v>341.2898250715254</v>
      </c>
      <c r="AW12" s="2" t="n">
        <v>6.471398487335979e-05</v>
      </c>
      <c r="AX12" s="2" t="n">
        <v>841</v>
      </c>
      <c r="AY12" s="2" t="n">
        <v>9.960380111806444e-07</v>
      </c>
      <c r="AZ12" s="2" t="s">
        <v>131</v>
      </c>
      <c r="BA12" s="2" t="n">
        <v>4.48</v>
      </c>
      <c r="BB12" s="2" t="s">
        <v>132</v>
      </c>
      <c r="BC12" s="2" t="n">
        <v>4</v>
      </c>
      <c r="BD12" s="2" t="s">
        <v>133</v>
      </c>
      <c r="BE12" s="2" t="n">
        <v>3000</v>
      </c>
      <c r="BF12" s="2" t="s">
        <v>134</v>
      </c>
      <c r="BG12" s="2" t="n">
        <v>120</v>
      </c>
    </row>
    <row r="13" customFormat="false" ht="15" hidden="false" customHeight="false" outlineLevel="0" collapsed="false">
      <c r="A13" s="2" t="s">
        <v>145</v>
      </c>
      <c r="B13" s="2" t="s">
        <v>128</v>
      </c>
      <c r="C13" s="2" t="s">
        <v>129</v>
      </c>
      <c r="D13" s="2" t="s">
        <v>130</v>
      </c>
      <c r="E13" s="2" t="n">
        <v>1</v>
      </c>
      <c r="F13" s="2" t="n">
        <v>434.8821241620741</v>
      </c>
      <c r="G13" s="2" t="n">
        <v>320.9100904278072</v>
      </c>
      <c r="H13" s="2" t="n">
        <v>291.0778239157642</v>
      </c>
      <c r="I13" s="2" t="n">
        <v>1.1652801234327317</v>
      </c>
      <c r="J13" s="2" t="n">
        <v>0.004072181417403835</v>
      </c>
      <c r="K13" s="2" t="n">
        <v>0.00033934845145031957</v>
      </c>
      <c r="L13" s="2" t="n">
        <v>20.339255117031765</v>
      </c>
      <c r="M13" s="2" t="n">
        <v>0.856707988038188</v>
      </c>
      <c r="N13" s="2" t="n">
        <v>1.0130279055926943</v>
      </c>
      <c r="O13" s="2" t="n">
        <v>5.198875</v>
      </c>
      <c r="P13" s="2" t="n">
        <v>4.453917741312035</v>
      </c>
      <c r="Q13" s="2" t="n">
        <v>28.056939</v>
      </c>
      <c r="R13" s="2" t="n">
        <v>20.592350447528943</v>
      </c>
      <c r="S13" s="2" t="n">
        <v>117.22826273894164</v>
      </c>
      <c r="T13" s="2" t="n">
        <v>136.83572976526995</v>
      </c>
      <c r="U13" s="2" t="n">
        <v>0.0005363924178702492</v>
      </c>
      <c r="V13" s="2" t="n">
        <v>12.314167800496847</v>
      </c>
      <c r="W13" s="2" t="n">
        <v>5.0296414531570624e-05</v>
      </c>
      <c r="X13" s="2" t="n">
        <v>282.19805454363893</v>
      </c>
      <c r="Y13" s="2" t="n">
        <v>274.1275956726007</v>
      </c>
      <c r="Z13" s="2" t="n">
        <v>10.12806446904438</v>
      </c>
      <c r="AA13" s="2" t="n">
        <v>327.0861110277951</v>
      </c>
      <c r="AB13" s="2" t="n">
        <v>6.176020599987908</v>
      </c>
      <c r="AC13" s="2" t="n">
        <v>105.12648302083548</v>
      </c>
      <c r="AD13" s="2" t="n">
        <v>0.45783254007759194</v>
      </c>
      <c r="AE13" s="2" t="n">
        <v>328.1068326961646</v>
      </c>
      <c r="AF13" s="2" t="n">
        <v>329.924629356663</v>
      </c>
      <c r="AG13" s="2" t="n">
        <v>323.54533901905535</v>
      </c>
      <c r="AH13" s="2" t="n">
        <v>6.379290337607642</v>
      </c>
      <c r="AI13" s="2" t="n">
        <v>1.5131741009612454</v>
      </c>
      <c r="AJ13" s="2" t="n">
        <v>329.73124579360683</v>
      </c>
      <c r="AK13" s="2" t="n">
        <v>329.81191118705186</v>
      </c>
      <c r="AL13" s="2" t="n">
        <v>329.88695883899334</v>
      </c>
      <c r="AM13" s="2" t="n">
        <v>11590877671.548801</v>
      </c>
      <c r="AN13" s="2" t="n">
        <v>11589403882.167063</v>
      </c>
      <c r="AO13" s="2" t="n">
        <v>328.1172632867474</v>
      </c>
      <c r="AP13" s="2" t="n">
        <v>149.00057279904135</v>
      </c>
      <c r="AQ13" s="2" t="n">
        <v>5.282142401373992</v>
      </c>
      <c r="AR13" s="2" t="n">
        <v>33.26516849481571</v>
      </c>
      <c r="AS13" s="2" t="n">
        <v>5.326988639079841</v>
      </c>
      <c r="AT13" s="2" t="n">
        <v>2.244047835494864</v>
      </c>
      <c r="AU13" s="2" t="n">
        <v>290.8503701542997</v>
      </c>
      <c r="AV13" s="2" t="n">
        <v>87.17375780878749</v>
      </c>
      <c r="AW13" s="2" t="n">
        <v>-0.00013869971626798074</v>
      </c>
      <c r="AX13" s="2" t="n">
        <v>315</v>
      </c>
      <c r="AY13" s="2" t="n">
        <v>9.828058864513878e-07</v>
      </c>
      <c r="AZ13" s="2" t="s">
        <v>131</v>
      </c>
      <c r="BA13" s="2" t="n">
        <v>4.48</v>
      </c>
      <c r="BB13" s="2" t="s">
        <v>132</v>
      </c>
      <c r="BC13" s="2" t="n">
        <v>4</v>
      </c>
      <c r="BD13" s="2" t="s">
        <v>133</v>
      </c>
      <c r="BE13" s="2" t="n">
        <v>3000</v>
      </c>
      <c r="BF13" s="2" t="s">
        <v>134</v>
      </c>
      <c r="BG13" s="2" t="n">
        <v>120</v>
      </c>
    </row>
    <row r="14" customFormat="false" ht="15" hidden="false" customHeight="false" outlineLevel="0" collapsed="false">
      <c r="A14" s="2" t="s">
        <v>146</v>
      </c>
      <c r="B14" s="2" t="s">
        <v>128</v>
      </c>
      <c r="C14" s="2" t="s">
        <v>129</v>
      </c>
      <c r="D14" s="2" t="s">
        <v>130</v>
      </c>
      <c r="E14" s="2" t="n">
        <v>1</v>
      </c>
      <c r="F14" s="2" t="n">
        <v>857.3034172462809</v>
      </c>
      <c r="G14" s="2" t="n">
        <v>311.29728731059436</v>
      </c>
      <c r="H14" s="2" t="n">
        <v>285.3093332729495</v>
      </c>
      <c r="I14" s="2" t="n">
        <v>4.527094762474661</v>
      </c>
      <c r="J14" s="2" t="n">
        <v>0.003587817107497725</v>
      </c>
      <c r="K14" s="2" t="n">
        <v>0.00029898475895814375</v>
      </c>
      <c r="L14" s="2" t="n">
        <v>33.30602017031029</v>
      </c>
      <c r="M14" s="2" t="n">
        <v>0.729045322617176</v>
      </c>
      <c r="N14" s="2" t="n">
        <v>0.9296834865476368</v>
      </c>
      <c r="O14" s="2" t="n">
        <v>5.198875</v>
      </c>
      <c r="P14" s="2" t="n">
        <v>3.790215501621371</v>
      </c>
      <c r="Q14" s="2" t="n">
        <v>28.056939</v>
      </c>
      <c r="R14" s="2" t="n">
        <v>14.912461789805983</v>
      </c>
      <c r="S14" s="2" t="n">
        <v>95.2642191941981</v>
      </c>
      <c r="T14" s="2" t="n">
        <v>130.66981741575708</v>
      </c>
      <c r="U14" s="2" t="n">
        <v>0.0005815516947166461</v>
      </c>
      <c r="V14" s="2" t="n">
        <v>17.0384853711326</v>
      </c>
      <c r="W14" s="2" t="n">
        <v>6.131491404252685e-05</v>
      </c>
      <c r="X14" s="2" t="n">
        <v>556.3101885750324</v>
      </c>
      <c r="Y14" s="2" t="n">
        <v>266.01923858215486</v>
      </c>
      <c r="Z14" s="2" t="n">
        <v>22.90296009740371</v>
      </c>
      <c r="AA14" s="2" t="n">
        <v>327.3440973204253</v>
      </c>
      <c r="AB14" s="2" t="n">
        <v>16.04681000983095</v>
      </c>
      <c r="AC14" s="2" t="n">
        <v>240.65522140147556</v>
      </c>
      <c r="AD14" s="2" t="n">
        <v>0.5316512158944605</v>
      </c>
      <c r="AE14" s="2" t="n">
        <v>330.63567022098795</v>
      </c>
      <c r="AF14" s="2" t="n">
        <v>335.5688289826668</v>
      </c>
      <c r="AG14" s="2" t="n">
        <v>318.5189199231812</v>
      </c>
      <c r="AH14" s="2" t="n">
        <v>17.04990905948557</v>
      </c>
      <c r="AI14" s="2" t="n">
        <v>4.158615981231961</v>
      </c>
      <c r="AJ14" s="2" t="n">
        <v>335.1186767379565</v>
      </c>
      <c r="AK14" s="2" t="n">
        <v>335.2984814527489</v>
      </c>
      <c r="AL14" s="2" t="n">
        <v>335.4813389712269</v>
      </c>
      <c r="AM14" s="2" t="n">
        <v>11962111686.112284</v>
      </c>
      <c r="AN14" s="2" t="n">
        <v>11950850685.814312</v>
      </c>
      <c r="AO14" s="2" t="n">
        <v>330.71353023205273</v>
      </c>
      <c r="AP14" s="2" t="n">
        <v>293.73177956761714</v>
      </c>
      <c r="AQ14" s="2" t="n">
        <v>6.325653958862406</v>
      </c>
      <c r="AR14" s="2" t="n">
        <v>40.2300561892701</v>
      </c>
      <c r="AS14" s="2" t="n">
        <v>6.520641246576056</v>
      </c>
      <c r="AT14" s="2" t="n">
        <v>2.2177786949960323</v>
      </c>
      <c r="AU14" s="2" t="n">
        <v>285.57864362855554</v>
      </c>
      <c r="AV14" s="2" t="n">
        <v>216.51860162937064</v>
      </c>
      <c r="AW14" s="2" t="n">
        <v>7.091090658421564e-05</v>
      </c>
      <c r="AX14" s="2" t="n">
        <v>380</v>
      </c>
      <c r="AY14" s="2" t="n">
        <v>9.89235331871896e-07</v>
      </c>
      <c r="AZ14" s="2" t="s">
        <v>131</v>
      </c>
      <c r="BA14" s="2" t="n">
        <v>4.48</v>
      </c>
      <c r="BB14" s="2" t="s">
        <v>132</v>
      </c>
      <c r="BC14" s="2" t="n">
        <v>4</v>
      </c>
      <c r="BD14" s="2" t="s">
        <v>133</v>
      </c>
      <c r="BE14" s="2" t="n">
        <v>3000</v>
      </c>
      <c r="BF14" s="2" t="s">
        <v>134</v>
      </c>
      <c r="BG14" s="2" t="n">
        <v>120</v>
      </c>
    </row>
    <row r="15" customFormat="false" ht="15" hidden="false" customHeight="false" outlineLevel="0" collapsed="false">
      <c r="A15" s="2" t="s">
        <v>147</v>
      </c>
      <c r="B15" s="2" t="s">
        <v>128</v>
      </c>
      <c r="C15" s="2" t="s">
        <v>129</v>
      </c>
      <c r="D15" s="2" t="s">
        <v>130</v>
      </c>
      <c r="E15" s="2" t="n">
        <v>1</v>
      </c>
      <c r="F15" s="2" t="n">
        <v>888.5517730810826</v>
      </c>
      <c r="G15" s="2" t="n">
        <v>324.1227465461296</v>
      </c>
      <c r="H15" s="2" t="n">
        <v>290.3728773971053</v>
      </c>
      <c r="I15" s="2" t="n">
        <v>0.5669463751235433</v>
      </c>
      <c r="J15" s="2" t="n">
        <v>0.0018944939391162964</v>
      </c>
      <c r="K15" s="2" t="n">
        <v>0.00015787449492635802</v>
      </c>
      <c r="L15" s="2" t="n">
        <v>30.411111120150004</v>
      </c>
      <c r="M15" s="2" t="n">
        <v>0.9722093263379317</v>
      </c>
      <c r="N15" s="2" t="n">
        <v>1.1786881563015223</v>
      </c>
      <c r="O15" s="2" t="n">
        <v>5.198875</v>
      </c>
      <c r="P15" s="2" t="n">
        <v>5.054394761465115</v>
      </c>
      <c r="Q15" s="2" t="n">
        <v>28.056939</v>
      </c>
      <c r="R15" s="2" t="n">
        <v>26.519165506997766</v>
      </c>
      <c r="S15" s="2" t="n">
        <v>67.87116017528443</v>
      </c>
      <c r="T15" s="2" t="n">
        <v>69.8112621804792</v>
      </c>
      <c r="U15" s="2" t="n">
        <v>0.00043101837851893345</v>
      </c>
      <c r="V15" s="2" t="n">
        <v>3.537713366910424</v>
      </c>
      <c r="W15" s="2" t="n">
        <v>6.722343562630396e-06</v>
      </c>
      <c r="X15" s="2" t="n">
        <v>576.5874654147259</v>
      </c>
      <c r="Y15" s="2" t="n">
        <v>273.1323554222001</v>
      </c>
      <c r="Z15" s="2" t="n">
        <v>7.854396225469465</v>
      </c>
      <c r="AA15" s="2" t="n">
        <v>351.73659588283675</v>
      </c>
      <c r="AB15" s="2" t="n">
        <v>27.613849336707176</v>
      </c>
      <c r="AC15" s="2" t="n">
        <v>218.67364945298044</v>
      </c>
      <c r="AD15" s="2" t="n">
        <v>0.4661007401734154</v>
      </c>
      <c r="AE15" s="2" t="n">
        <v>365.56768526632385</v>
      </c>
      <c r="AF15" s="2" t="n">
        <v>377.8526439393592</v>
      </c>
      <c r="AG15" s="2" t="n">
        <v>336.8927324375107</v>
      </c>
      <c r="AH15" s="2" t="n">
        <v>40.959911501848524</v>
      </c>
      <c r="AI15" s="2" t="n">
        <v>10.647709311932125</v>
      </c>
      <c r="AJ15" s="2" t="n">
        <v>377.11255637147434</v>
      </c>
      <c r="AK15" s="2" t="n">
        <v>377.4143239316731</v>
      </c>
      <c r="AL15" s="2" t="n">
        <v>377.71926727171297</v>
      </c>
      <c r="AM15" s="2" t="n">
        <v>17948972160.294353</v>
      </c>
      <c r="AN15" s="2" t="n">
        <v>17859578105.605762</v>
      </c>
      <c r="AO15" s="2" t="n">
        <v>366.0242808218007</v>
      </c>
      <c r="AP15" s="2" t="n">
        <v>304.4381817389753</v>
      </c>
      <c r="AQ15" s="2" t="n">
        <v>12.306409593905329</v>
      </c>
      <c r="AR15" s="2" t="n">
        <v>62.64040179394286</v>
      </c>
      <c r="AS15" s="2" t="n">
        <v>10.817515791811799</v>
      </c>
      <c r="AT15" s="2" t="n">
        <v>2.1601601347494817</v>
      </c>
      <c r="AU15" s="2" t="n">
        <v>295.41142607265385</v>
      </c>
      <c r="AV15" s="2" t="n">
        <v>304.17367317412834</v>
      </c>
      <c r="AW15" s="2" t="n">
        <v>6.792898354544717e-05</v>
      </c>
      <c r="AX15" s="2" t="n">
        <v>905</v>
      </c>
      <c r="AY15" s="2" t="n">
        <v>9.8660251524052e-07</v>
      </c>
      <c r="AZ15" s="2" t="s">
        <v>131</v>
      </c>
      <c r="BA15" s="2" t="n">
        <v>4.48</v>
      </c>
      <c r="BB15" s="2" t="s">
        <v>132</v>
      </c>
      <c r="BC15" s="2" t="n">
        <v>4</v>
      </c>
      <c r="BD15" s="2" t="s">
        <v>133</v>
      </c>
      <c r="BE15" s="2" t="n">
        <v>3000</v>
      </c>
      <c r="BF15" s="2" t="s">
        <v>134</v>
      </c>
      <c r="BG15" s="2" t="n">
        <v>120</v>
      </c>
    </row>
    <row r="16" customFormat="false" ht="15" hidden="false" customHeight="false" outlineLevel="0" collapsed="false">
      <c r="A16" s="2" t="s">
        <v>148</v>
      </c>
      <c r="B16" s="2" t="s">
        <v>128</v>
      </c>
      <c r="C16" s="2" t="s">
        <v>129</v>
      </c>
      <c r="D16" s="2" t="s">
        <v>130</v>
      </c>
      <c r="E16" s="2" t="n">
        <v>1</v>
      </c>
      <c r="F16" s="2" t="n">
        <v>646.9750452546116</v>
      </c>
      <c r="G16" s="2" t="n">
        <v>331.8155890653097</v>
      </c>
      <c r="H16" s="2" t="n">
        <v>286.7166566650029</v>
      </c>
      <c r="I16" s="2" t="n">
        <v>4.985774134418909</v>
      </c>
      <c r="J16" s="2" t="n">
        <v>0.0019166059664500528</v>
      </c>
      <c r="K16" s="2" t="n">
        <v>0.00015971716387083775</v>
      </c>
      <c r="L16" s="2" t="n">
        <v>27.705656401626324</v>
      </c>
      <c r="M16" s="2" t="n">
        <v>0.9898720703305586</v>
      </c>
      <c r="N16" s="2" t="n">
        <v>0.8577232950183382</v>
      </c>
      <c r="O16" s="2" t="n">
        <v>5.198875</v>
      </c>
      <c r="P16" s="2" t="n">
        <v>5.146221159639784</v>
      </c>
      <c r="Q16" s="2" t="n">
        <v>28.056939</v>
      </c>
      <c r="R16" s="2" t="n">
        <v>27.491499529514897</v>
      </c>
      <c r="S16" s="2" t="n">
        <v>71.19656080915904</v>
      </c>
      <c r="T16" s="2" t="n">
        <v>71.92501227495345</v>
      </c>
      <c r="U16" s="2" t="n">
        <v>0.00041568242409445184</v>
      </c>
      <c r="V16" s="2" t="n">
        <v>3.349316492897943</v>
      </c>
      <c r="W16" s="2" t="n">
        <v>6.438635881462149e-06</v>
      </c>
      <c r="X16" s="2" t="n">
        <v>419.82663569103414</v>
      </c>
      <c r="Y16" s="2" t="n">
        <v>267.98992269998433</v>
      </c>
      <c r="Z16" s="2" t="n">
        <v>24.645941710791853</v>
      </c>
      <c r="AA16" s="2" t="n">
        <v>349.1062305725577</v>
      </c>
      <c r="AB16" s="2" t="n">
        <v>17.290641507247983</v>
      </c>
      <c r="AC16" s="2" t="n">
        <v>138.522469107939</v>
      </c>
      <c r="AD16" s="2" t="n">
        <v>0.40550738875257775</v>
      </c>
      <c r="AE16" s="2" t="n">
        <v>357.7477711677605</v>
      </c>
      <c r="AF16" s="2" t="n">
        <v>365.44350857463553</v>
      </c>
      <c r="AG16" s="2" t="n">
        <v>339.75510879362093</v>
      </c>
      <c r="AH16" s="2" t="n">
        <v>25.688399781014596</v>
      </c>
      <c r="AI16" s="2" t="n">
        <v>6.667735613495966</v>
      </c>
      <c r="AJ16" s="2" t="n">
        <v>364.96144728508887</v>
      </c>
      <c r="AK16" s="2" t="n">
        <v>365.1576265834008</v>
      </c>
      <c r="AL16" s="2" t="n">
        <v>365.3569716963654</v>
      </c>
      <c r="AM16" s="2" t="n">
        <v>16413486901.40395</v>
      </c>
      <c r="AN16" s="2" t="n">
        <v>16379768023.842533</v>
      </c>
      <c r="AO16" s="2" t="n">
        <v>357.93174130035396</v>
      </c>
      <c r="AP16" s="2" t="n">
        <v>221.66846364486605</v>
      </c>
      <c r="AQ16" s="2" t="n">
        <v>11.275605176033524</v>
      </c>
      <c r="AR16" s="2" t="n">
        <v>61.651656333845786</v>
      </c>
      <c r="AS16" s="2" t="n">
        <v>10.218527377315285</v>
      </c>
      <c r="AT16" s="2" t="n">
        <v>2.2169647147468354</v>
      </c>
      <c r="AU16" s="2" t="n">
        <v>288.6988912499024</v>
      </c>
      <c r="AV16" s="2" t="n">
        <v>192.3881311390761</v>
      </c>
      <c r="AW16" s="2" t="n">
        <v>9.282464389256981e-05</v>
      </c>
      <c r="AX16" s="2" t="n">
        <v>838</v>
      </c>
      <c r="AY16" s="2" t="n">
        <v>9.871691872831434e-07</v>
      </c>
      <c r="AZ16" s="2" t="s">
        <v>131</v>
      </c>
      <c r="BA16" s="2" t="n">
        <v>4.48</v>
      </c>
      <c r="BB16" s="2" t="s">
        <v>132</v>
      </c>
      <c r="BC16" s="2" t="n">
        <v>4</v>
      </c>
      <c r="BD16" s="2" t="s">
        <v>133</v>
      </c>
      <c r="BE16" s="2" t="n">
        <v>3000</v>
      </c>
      <c r="BF16" s="2" t="s">
        <v>134</v>
      </c>
      <c r="BG16" s="2" t="n">
        <v>120</v>
      </c>
    </row>
    <row r="17" customFormat="false" ht="15" hidden="false" customHeight="false" outlineLevel="0" collapsed="false">
      <c r="A17" s="2" t="s">
        <v>149</v>
      </c>
      <c r="B17" s="2" t="s">
        <v>128</v>
      </c>
      <c r="C17" s="2" t="s">
        <v>129</v>
      </c>
      <c r="D17" s="2" t="s">
        <v>130</v>
      </c>
      <c r="E17" s="2" t="n">
        <v>1</v>
      </c>
      <c r="F17" s="2" t="n">
        <v>641.1758263136524</v>
      </c>
      <c r="G17" s="2" t="n">
        <v>330.89281848046704</v>
      </c>
      <c r="H17" s="2" t="n">
        <v>303.7740273078725</v>
      </c>
      <c r="I17" s="2" t="n">
        <v>4.701725738622171</v>
      </c>
      <c r="J17" s="2" t="n">
        <v>0.0012767344342036106</v>
      </c>
      <c r="K17" s="2" t="n">
        <v>0.00010639453618363422</v>
      </c>
      <c r="L17" s="2" t="n">
        <v>33.86625759785724</v>
      </c>
      <c r="M17" s="2" t="n">
        <v>0.8650362200405126</v>
      </c>
      <c r="N17" s="2" t="n">
        <v>1.6170680577232628</v>
      </c>
      <c r="O17" s="2" t="n">
        <v>5.198875</v>
      </c>
      <c r="P17" s="2" t="n">
        <v>4.4972151784631205</v>
      </c>
      <c r="Q17" s="2" t="n">
        <v>28.056939</v>
      </c>
      <c r="R17" s="2" t="n">
        <v>20.994661286680984</v>
      </c>
      <c r="S17" s="2" t="n">
        <v>49.70415832958936</v>
      </c>
      <c r="T17" s="2" t="n">
        <v>57.45904874048111</v>
      </c>
      <c r="U17" s="2" t="n">
        <v>0.0003966392509037133</v>
      </c>
      <c r="V17" s="2" t="n">
        <v>2.6234434207445427</v>
      </c>
      <c r="W17" s="2" t="n">
        <v>3.359519108775796e-06</v>
      </c>
      <c r="X17" s="2" t="n">
        <v>416.0634819257131</v>
      </c>
      <c r="Y17" s="2" t="n">
        <v>292.25707680558617</v>
      </c>
      <c r="Z17" s="2" t="n">
        <v>23.566557806764248</v>
      </c>
      <c r="AA17" s="2" t="n">
        <v>356.6777018478662</v>
      </c>
      <c r="AB17" s="2" t="n">
        <v>25.784883367399175</v>
      </c>
      <c r="AC17" s="2" t="n">
        <v>137.60747463420478</v>
      </c>
      <c r="AD17" s="2" t="n">
        <v>0.4064723066816704</v>
      </c>
      <c r="AE17" s="2" t="n">
        <v>372.9558311008171</v>
      </c>
      <c r="AF17" s="2" t="n">
        <v>384.9846195106046</v>
      </c>
      <c r="AG17" s="2" t="n">
        <v>344.3818517852511</v>
      </c>
      <c r="AH17" s="2" t="n">
        <v>40.60276772535349</v>
      </c>
      <c r="AI17" s="2" t="n">
        <v>10.703484794982938</v>
      </c>
      <c r="AJ17" s="2" t="n">
        <v>384.484222520566</v>
      </c>
      <c r="AK17" s="2" t="n">
        <v>384.7320157154827</v>
      </c>
      <c r="AL17" s="2" t="n">
        <v>384.9108682166642</v>
      </c>
      <c r="AM17" s="2" t="n">
        <v>19441662778.174316</v>
      </c>
      <c r="AN17" s="2" t="n">
        <v>19347711668.661636</v>
      </c>
      <c r="AO17" s="2" t="n">
        <v>373.40777069794797</v>
      </c>
      <c r="AP17" s="2" t="n">
        <v>219.68151845677653</v>
      </c>
      <c r="AQ17" s="2" t="n">
        <v>12.66347648887509</v>
      </c>
      <c r="AR17" s="2" t="n">
        <v>59.45787190636892</v>
      </c>
      <c r="AS17" s="2" t="n">
        <v>9.952485766541292</v>
      </c>
      <c r="AT17" s="2" t="n">
        <v>2.246880773457506</v>
      </c>
      <c r="AU17" s="2" t="n">
        <v>306.36395504151324</v>
      </c>
      <c r="AV17" s="2" t="n">
        <v>215.62777793235495</v>
      </c>
      <c r="AW17" s="2" t="n">
        <v>9.58293494554767e-05</v>
      </c>
      <c r="AX17" s="2" t="n">
        <v>1267</v>
      </c>
      <c r="AY17" s="2" t="n">
        <v>9.949911827789037e-07</v>
      </c>
      <c r="AZ17" s="2" t="s">
        <v>131</v>
      </c>
      <c r="BA17" s="2" t="n">
        <v>4.48</v>
      </c>
      <c r="BB17" s="2" t="s">
        <v>132</v>
      </c>
      <c r="BC17" s="2" t="n">
        <v>4</v>
      </c>
      <c r="BD17" s="2" t="s">
        <v>133</v>
      </c>
      <c r="BE17" s="2" t="n">
        <v>3000</v>
      </c>
      <c r="BF17" s="2" t="s">
        <v>134</v>
      </c>
      <c r="BG17" s="2" t="n">
        <v>120</v>
      </c>
    </row>
    <row r="18" customFormat="false" ht="15" hidden="false" customHeight="false" outlineLevel="0" collapsed="false">
      <c r="A18" s="2" t="s">
        <v>150</v>
      </c>
      <c r="B18" s="2" t="s">
        <v>128</v>
      </c>
      <c r="C18" s="2" t="s">
        <v>129</v>
      </c>
      <c r="D18" s="2" t="s">
        <v>130</v>
      </c>
      <c r="E18" s="2" t="n">
        <v>1</v>
      </c>
      <c r="F18" s="2" t="n">
        <v>442.5428206356087</v>
      </c>
      <c r="G18" s="2" t="n">
        <v>305.832052238647</v>
      </c>
      <c r="H18" s="2" t="n">
        <v>292.4692619619114</v>
      </c>
      <c r="I18" s="2" t="n">
        <v>4.167839372881797</v>
      </c>
      <c r="J18" s="2" t="n">
        <v>0.0017752152251071546</v>
      </c>
      <c r="K18" s="2" t="n">
        <v>0.00014793460209226288</v>
      </c>
      <c r="L18" s="2" t="n">
        <v>22.50049661108444</v>
      </c>
      <c r="M18" s="2" t="n">
        <v>0.813100691887475</v>
      </c>
      <c r="N18" s="2" t="n">
        <v>1.7758041048522588</v>
      </c>
      <c r="O18" s="2" t="n">
        <v>5.198875</v>
      </c>
      <c r="P18" s="2" t="n">
        <v>4.227208859536497</v>
      </c>
      <c r="Q18" s="2" t="n">
        <v>28.056939</v>
      </c>
      <c r="R18" s="2" t="n">
        <v>18.549360820947523</v>
      </c>
      <c r="S18" s="2" t="n">
        <v>42.1355492070975</v>
      </c>
      <c r="T18" s="2" t="n">
        <v>51.820825670787436</v>
      </c>
      <c r="U18" s="2" t="n">
        <v>0.000650564253547398</v>
      </c>
      <c r="V18" s="2" t="n">
        <v>6.525023842603961</v>
      </c>
      <c r="W18" s="2" t="n">
        <v>1.1618176198172258e-05</v>
      </c>
      <c r="X18" s="2" t="n">
        <v>287.16913411019084</v>
      </c>
      <c r="Y18" s="2" t="n">
        <v>276.0955592778319</v>
      </c>
      <c r="Z18" s="2" t="n">
        <v>21.53778961695083</v>
      </c>
      <c r="AA18" s="2" t="n">
        <v>320.57051454451175</v>
      </c>
      <c r="AB18" s="2" t="n">
        <v>14.738462305864743</v>
      </c>
      <c r="AC18" s="2" t="n">
        <v>109.36528040256299</v>
      </c>
      <c r="AD18" s="2" t="n">
        <v>0.4680478435649385</v>
      </c>
      <c r="AE18" s="2" t="n">
        <v>328.1195012596672</v>
      </c>
      <c r="AF18" s="2" t="n">
        <v>334.73768799118557</v>
      </c>
      <c r="AG18" s="2" t="n">
        <v>312.6828119590137</v>
      </c>
      <c r="AH18" s="2" t="n">
        <v>22.054876032171876</v>
      </c>
      <c r="AI18" s="2" t="n">
        <v>5.728478710862597</v>
      </c>
      <c r="AJ18" s="2" t="n">
        <v>334.3201258486929</v>
      </c>
      <c r="AK18" s="2" t="n">
        <v>334.4899719360184</v>
      </c>
      <c r="AL18" s="2" t="n">
        <v>334.6644898371801</v>
      </c>
      <c r="AM18" s="2" t="n">
        <v>11612138819.62774</v>
      </c>
      <c r="AN18" s="2" t="n">
        <v>11591193904.050306</v>
      </c>
      <c r="AO18" s="2" t="n">
        <v>328.26762627943015</v>
      </c>
      <c r="AP18" s="2" t="n">
        <v>151.62530281018078</v>
      </c>
      <c r="AQ18" s="2" t="n">
        <v>5.137693543794771</v>
      </c>
      <c r="AR18" s="2" t="n">
        <v>31.993490733563522</v>
      </c>
      <c r="AS18" s="2" t="n">
        <v>5.1286390312489845</v>
      </c>
      <c r="AT18" s="2" t="n">
        <v>2.245087909734937</v>
      </c>
      <c r="AU18" s="2" t="n">
        <v>292.28729769562165</v>
      </c>
      <c r="AV18" s="2" t="n">
        <v>153.95140401494675</v>
      </c>
      <c r="AW18" s="2" t="n">
        <v>0.00013165972713679523</v>
      </c>
      <c r="AX18" s="2" t="n">
        <v>855</v>
      </c>
      <c r="AY18" s="2" t="n">
        <v>9.933478395396378e-07</v>
      </c>
      <c r="AZ18" s="2" t="s">
        <v>131</v>
      </c>
      <c r="BA18" s="2" t="n">
        <v>4.48</v>
      </c>
      <c r="BB18" s="2" t="s">
        <v>132</v>
      </c>
      <c r="BC18" s="2" t="n">
        <v>4</v>
      </c>
      <c r="BD18" s="2" t="s">
        <v>133</v>
      </c>
      <c r="BE18" s="2" t="n">
        <v>3000</v>
      </c>
      <c r="BF18" s="2" t="s">
        <v>134</v>
      </c>
      <c r="BG18" s="2" t="n">
        <v>120</v>
      </c>
    </row>
    <row r="19" customFormat="false" ht="15" hidden="false" customHeight="false" outlineLevel="0" collapsed="false">
      <c r="A19" s="2" t="s">
        <v>151</v>
      </c>
      <c r="B19" s="2" t="s">
        <v>128</v>
      </c>
      <c r="C19" s="2" t="s">
        <v>129</v>
      </c>
      <c r="D19" s="2" t="s">
        <v>130</v>
      </c>
      <c r="E19" s="2" t="n">
        <v>1</v>
      </c>
      <c r="F19" s="2" t="n">
        <v>931.5965195246023</v>
      </c>
      <c r="G19" s="2" t="n">
        <v>328.1698452762267</v>
      </c>
      <c r="H19" s="2" t="n">
        <v>288.0415165537854</v>
      </c>
      <c r="I19" s="2" t="n">
        <v>4.402313844891903</v>
      </c>
      <c r="J19" s="2" t="n">
        <v>0.003951260399433582</v>
      </c>
      <c r="K19" s="2" t="n">
        <v>0.00032927169995279853</v>
      </c>
      <c r="L19" s="2" t="n">
        <v>21.965495043440868</v>
      </c>
      <c r="M19" s="2" t="n">
        <v>0.6061610860236604</v>
      </c>
      <c r="N19" s="2" t="n">
        <v>0.573954648379831</v>
      </c>
      <c r="O19" s="2" t="n">
        <v>5.198875</v>
      </c>
      <c r="P19" s="2" t="n">
        <v>3.1513557161012575</v>
      </c>
      <c r="Q19" s="2" t="n">
        <v>28.056939</v>
      </c>
      <c r="R19" s="2" t="n">
        <v>10.308996510501675</v>
      </c>
      <c r="S19" s="2" t="n">
        <v>137.08414160110786</v>
      </c>
      <c r="T19" s="2" t="n">
        <v>226.15133957272377</v>
      </c>
      <c r="U19" s="2" t="n">
        <v>0.0004450781523727685</v>
      </c>
      <c r="V19" s="2" t="n">
        <v>26.777169031271484</v>
      </c>
      <c r="W19" s="2" t="n">
        <v>0.00010612193340240955</v>
      </c>
      <c r="X19" s="2" t="n">
        <v>604.519502695151</v>
      </c>
      <c r="Y19" s="2" t="n">
        <v>269.84955796102264</v>
      </c>
      <c r="Z19" s="2" t="n">
        <v>22.428792610589227</v>
      </c>
      <c r="AA19" s="2" t="n">
        <v>343.3862608003711</v>
      </c>
      <c r="AB19" s="2" t="n">
        <v>15.216415524144395</v>
      </c>
      <c r="AC19" s="2" t="n">
        <v>251.31840394225065</v>
      </c>
      <c r="AD19" s="2" t="n">
        <v>0.5109313052082864</v>
      </c>
      <c r="AE19" s="2" t="n">
        <v>346.11965466002465</v>
      </c>
      <c r="AF19" s="2" t="n">
        <v>350.6876783414782</v>
      </c>
      <c r="AG19" s="2" t="n">
        <v>334.6823966782206</v>
      </c>
      <c r="AH19" s="2" t="n">
        <v>16.00528166325762</v>
      </c>
      <c r="AI19" s="2" t="n">
        <v>3.8186560945463244</v>
      </c>
      <c r="AJ19" s="2" t="n">
        <v>350.21902989298445</v>
      </c>
      <c r="AK19" s="2" t="n">
        <v>350.4139017299146</v>
      </c>
      <c r="AL19" s="2" t="n">
        <v>350.601024611602</v>
      </c>
      <c r="AM19" s="2" t="n">
        <v>14362169282.454578</v>
      </c>
      <c r="AN19" s="2" t="n">
        <v>14351756157.340559</v>
      </c>
      <c r="AO19" s="2" t="n">
        <v>346.1824206203771</v>
      </c>
      <c r="AP19" s="2" t="n">
        <v>319.1862974230397</v>
      </c>
      <c r="AQ19" s="2" t="n">
        <v>8.765173538210714</v>
      </c>
      <c r="AR19" s="2" t="n">
        <v>50.747390914726545</v>
      </c>
      <c r="AS19" s="2" t="n">
        <v>8.355113789451574</v>
      </c>
      <c r="AT19" s="2" t="n">
        <v>2.2131852231871125</v>
      </c>
      <c r="AU19" s="2" t="n">
        <v>289.28337953318936</v>
      </c>
      <c r="AV19" s="2" t="n">
        <v>215.09046849832336</v>
      </c>
      <c r="AW19" s="2" t="n">
        <v>6.670450781357297e-05</v>
      </c>
      <c r="AX19" s="2" t="n">
        <v>343</v>
      </c>
      <c r="AY19" s="2" t="n">
        <v>9.904962325890665e-07</v>
      </c>
      <c r="AZ19" s="2" t="s">
        <v>131</v>
      </c>
      <c r="BA19" s="2" t="n">
        <v>4.48</v>
      </c>
      <c r="BB19" s="2" t="s">
        <v>132</v>
      </c>
      <c r="BC19" s="2" t="n">
        <v>4</v>
      </c>
      <c r="BD19" s="2" t="s">
        <v>133</v>
      </c>
      <c r="BE19" s="2" t="n">
        <v>3000</v>
      </c>
      <c r="BF19" s="2" t="s">
        <v>134</v>
      </c>
      <c r="BG19" s="2" t="n">
        <v>120</v>
      </c>
    </row>
    <row r="20" customFormat="false" ht="15" hidden="false" customHeight="false" outlineLevel="0" collapsed="false">
      <c r="A20" s="2" t="s">
        <v>152</v>
      </c>
      <c r="B20" s="2" t="s">
        <v>128</v>
      </c>
      <c r="C20" s="2" t="s">
        <v>129</v>
      </c>
      <c r="D20" s="2" t="s">
        <v>130</v>
      </c>
      <c r="E20" s="2" t="n">
        <v>1</v>
      </c>
      <c r="F20" s="2" t="n">
        <v>854.4474224561814</v>
      </c>
      <c r="G20" s="2" t="n">
        <v>297.9633716660752</v>
      </c>
      <c r="H20" s="2" t="n">
        <v>303.11988818633796</v>
      </c>
      <c r="I20" s="2" t="n">
        <v>0.5544396679637325</v>
      </c>
      <c r="J20" s="2" t="n">
        <v>0.0033314333993990416</v>
      </c>
      <c r="K20" s="2" t="n">
        <v>0.00027761944994992015</v>
      </c>
      <c r="L20" s="2" t="n">
        <v>24.06222780866954</v>
      </c>
      <c r="M20" s="2" t="n">
        <v>0.932491986717556</v>
      </c>
      <c r="N20" s="2" t="n">
        <v>1.1102894745920222</v>
      </c>
      <c r="O20" s="2" t="n">
        <v>5.198875</v>
      </c>
      <c r="P20" s="2" t="n">
        <v>4.8479092774462345</v>
      </c>
      <c r="Q20" s="2" t="n">
        <v>28.056939</v>
      </c>
      <c r="R20" s="2" t="n">
        <v>24.396667360570778</v>
      </c>
      <c r="S20" s="2" t="n">
        <v>70.84621859521657</v>
      </c>
      <c r="T20" s="2" t="n">
        <v>75.97515003276408</v>
      </c>
      <c r="U20" s="2" t="n">
        <v>0.0007261098065373767</v>
      </c>
      <c r="V20" s="2" t="n">
        <v>11.378108515827217</v>
      </c>
      <c r="W20" s="2" t="n">
        <v>3.8019469139030544e-05</v>
      </c>
      <c r="X20" s="2" t="n">
        <v>554.4569135637731</v>
      </c>
      <c r="Y20" s="2" t="n">
        <v>291.31357696085917</v>
      </c>
      <c r="Z20" s="2" t="n">
        <v>7.806870738262184</v>
      </c>
      <c r="AA20" s="2" t="n">
        <v>317.2835432500108</v>
      </c>
      <c r="AB20" s="2" t="n">
        <v>19.320171583935576</v>
      </c>
      <c r="AC20" s="2" t="n">
        <v>269.0409552688048</v>
      </c>
      <c r="AD20" s="2" t="n">
        <v>0.5963471249078603</v>
      </c>
      <c r="AE20" s="2" t="n">
        <v>321.7256154083973</v>
      </c>
      <c r="AF20" s="2" t="n">
        <v>328.0427519935876</v>
      </c>
      <c r="AG20" s="2" t="n">
        <v>306.41317550246515</v>
      </c>
      <c r="AH20" s="2" t="n">
        <v>21.629576491122464</v>
      </c>
      <c r="AI20" s="2" t="n">
        <v>5.2770626584844385</v>
      </c>
      <c r="AJ20" s="2" t="n">
        <v>327.4182670742546</v>
      </c>
      <c r="AK20" s="2" t="n">
        <v>327.6789233844902</v>
      </c>
      <c r="AL20" s="2" t="n">
        <v>327.92600149384236</v>
      </c>
      <c r="AM20" s="2" t="n">
        <v>10730911999.575016</v>
      </c>
      <c r="AN20" s="2" t="n">
        <v>10713775977.59241</v>
      </c>
      <c r="AO20" s="2" t="n">
        <v>321.85418337581046</v>
      </c>
      <c r="AP20" s="2" t="n">
        <v>292.7532503616722</v>
      </c>
      <c r="AQ20" s="2" t="n">
        <v>2.9437381706734325</v>
      </c>
      <c r="AR20" s="2" t="n">
        <v>18.091744104599293</v>
      </c>
      <c r="AS20" s="2" t="n">
        <v>2.676617624887359</v>
      </c>
      <c r="AT20" s="2" t="n">
        <v>2.413754069437915</v>
      </c>
      <c r="AU20" s="2" t="n">
        <v>301.46314817769456</v>
      </c>
      <c r="AV20" s="2" t="n">
        <v>255.14987686201025</v>
      </c>
      <c r="AW20" s="2" t="n">
        <v>6.791038356024846e-05</v>
      </c>
      <c r="AX20" s="2" t="n">
        <v>427</v>
      </c>
      <c r="AY20" s="2" t="n">
        <v>9.733550996315898e-07</v>
      </c>
      <c r="AZ20" s="2" t="s">
        <v>131</v>
      </c>
      <c r="BA20" s="2" t="n">
        <v>4.48</v>
      </c>
      <c r="BB20" s="2" t="s">
        <v>132</v>
      </c>
      <c r="BC20" s="2" t="n">
        <v>4</v>
      </c>
      <c r="BD20" s="2" t="s">
        <v>133</v>
      </c>
      <c r="BE20" s="2" t="n">
        <v>3000</v>
      </c>
      <c r="BF20" s="2" t="s">
        <v>134</v>
      </c>
      <c r="BG20" s="2" t="n">
        <v>120</v>
      </c>
    </row>
    <row r="21" customFormat="false" ht="15" hidden="false" customHeight="false" outlineLevel="0" collapsed="false">
      <c r="A21" s="2" t="s">
        <v>153</v>
      </c>
      <c r="B21" s="2" t="s">
        <v>128</v>
      </c>
      <c r="C21" s="2" t="s">
        <v>129</v>
      </c>
      <c r="D21" s="2" t="s">
        <v>130</v>
      </c>
      <c r="E21" s="2" t="n">
        <v>1</v>
      </c>
      <c r="F21" s="2" t="n">
        <v>739.0229220561592</v>
      </c>
      <c r="G21" s="2" t="n">
        <v>306.3072583328939</v>
      </c>
      <c r="H21" s="2" t="n">
        <v>286.91081370228204</v>
      </c>
      <c r="I21" s="2" t="n">
        <v>1.997329379786492</v>
      </c>
      <c r="J21" s="2" t="n">
        <v>0.001520964024683455</v>
      </c>
      <c r="K21" s="2" t="n">
        <v>0.0001267470020569546</v>
      </c>
      <c r="L21" s="2" t="n">
        <v>31.994648889612314</v>
      </c>
      <c r="M21" s="2" t="n">
        <v>0.8170667829732507</v>
      </c>
      <c r="N21" s="2" t="n">
        <v>1.6491924824416198</v>
      </c>
      <c r="O21" s="2" t="n">
        <v>5.198875</v>
      </c>
      <c r="P21" s="2" t="n">
        <v>4.247828071330059</v>
      </c>
      <c r="Q21" s="2" t="n">
        <v>28.056939</v>
      </c>
      <c r="R21" s="2" t="n">
        <v>18.730759949272183</v>
      </c>
      <c r="S21" s="2" t="n">
        <v>41.20713019248449</v>
      </c>
      <c r="T21" s="2" t="n">
        <v>50.433001379072756</v>
      </c>
      <c r="U21" s="2" t="n">
        <v>0.000569946923273797</v>
      </c>
      <c r="V21" s="2" t="n">
        <v>4.925328026020507</v>
      </c>
      <c r="W21" s="2" t="n">
        <v>7.513788101647308e-06</v>
      </c>
      <c r="X21" s="2" t="n">
        <v>479.557147282696</v>
      </c>
      <c r="Y21" s="2" t="n">
        <v>268.2621824514243</v>
      </c>
      <c r="Z21" s="2" t="n">
        <v>13.289851643188669</v>
      </c>
      <c r="AA21" s="2" t="n">
        <v>334.53838219245284</v>
      </c>
      <c r="AB21" s="2" t="n">
        <v>28.23112385955892</v>
      </c>
      <c r="AC21" s="2" t="n">
        <v>179.48302934510633</v>
      </c>
      <c r="AD21" s="2" t="n">
        <v>0.45997217362960957</v>
      </c>
      <c r="AE21" s="2" t="n">
        <v>350.62311715784244</v>
      </c>
      <c r="AF21" s="2" t="n">
        <v>363.5887611679957</v>
      </c>
      <c r="AG21" s="2" t="n">
        <v>320.2566999832508</v>
      </c>
      <c r="AH21" s="2" t="n">
        <v>43.33206118474487</v>
      </c>
      <c r="AI21" s="2" t="n">
        <v>11.372674900544947</v>
      </c>
      <c r="AJ21" s="2" t="n">
        <v>362.96011741825447</v>
      </c>
      <c r="AK21" s="2" t="n">
        <v>363.2326272314458</v>
      </c>
      <c r="AL21" s="2" t="n">
        <v>363.4832597809377</v>
      </c>
      <c r="AM21" s="2" t="n">
        <v>15207041774.634699</v>
      </c>
      <c r="AN21" s="2" t="n">
        <v>15113400313.557281</v>
      </c>
      <c r="AO21" s="2" t="n">
        <v>351.1649682411243</v>
      </c>
      <c r="AP21" s="2" t="n">
        <v>253.20617376526351</v>
      </c>
      <c r="AQ21" s="2" t="n">
        <v>9.772792163816334</v>
      </c>
      <c r="AR21" s="2" t="n">
        <v>54.78450148612846</v>
      </c>
      <c r="AS21" s="2" t="n">
        <v>9.165644122157032</v>
      </c>
      <c r="AT21" s="2" t="n">
        <v>2.1915259673480403</v>
      </c>
      <c r="AU21" s="2" t="n">
        <v>289.2653420480974</v>
      </c>
      <c r="AV21" s="2" t="n">
        <v>267.1058667514326</v>
      </c>
      <c r="AW21" s="2" t="n">
        <v>8.155127926319931e-05</v>
      </c>
      <c r="AX21" s="2" t="n">
        <v>1101</v>
      </c>
      <c r="AY21" s="2" t="n">
        <v>9.960066336134332e-07</v>
      </c>
      <c r="AZ21" s="2" t="s">
        <v>131</v>
      </c>
      <c r="BA21" s="2" t="n">
        <v>4.48</v>
      </c>
      <c r="BB21" s="2" t="s">
        <v>132</v>
      </c>
      <c r="BC21" s="2" t="n">
        <v>4</v>
      </c>
      <c r="BD21" s="2" t="s">
        <v>133</v>
      </c>
      <c r="BE21" s="2" t="n">
        <v>3000</v>
      </c>
      <c r="BF21" s="2" t="s">
        <v>134</v>
      </c>
      <c r="BG21" s="2" t="n">
        <v>120</v>
      </c>
    </row>
    <row r="22" customFormat="false" ht="15" hidden="false" customHeight="false" outlineLevel="0" collapsed="false">
      <c r="A22" s="2" t="s">
        <v>154</v>
      </c>
      <c r="B22" s="2" t="s">
        <v>128</v>
      </c>
      <c r="C22" s="2" t="s">
        <v>129</v>
      </c>
      <c r="D22" s="2" t="s">
        <v>130</v>
      </c>
      <c r="E22" s="2" t="n">
        <v>1</v>
      </c>
      <c r="F22" s="2" t="n">
        <v>740.7045886655048</v>
      </c>
      <c r="G22" s="2" t="n">
        <v>295.68314810912653</v>
      </c>
      <c r="H22" s="2" t="n">
        <v>287.9219982084813</v>
      </c>
      <c r="I22" s="2" t="n">
        <v>2.684940974452723</v>
      </c>
      <c r="J22" s="2" t="n">
        <v>0.0038491279832270357</v>
      </c>
      <c r="K22" s="2" t="n">
        <v>0.00032076066526891966</v>
      </c>
      <c r="L22" s="2" t="n">
        <v>25.751871110368008</v>
      </c>
      <c r="M22" s="2" t="n">
        <v>0.6300501947959543</v>
      </c>
      <c r="N22" s="2" t="n">
        <v>1.2157414675819438</v>
      </c>
      <c r="O22" s="2" t="n">
        <v>5.198875</v>
      </c>
      <c r="P22" s="2" t="n">
        <v>3.275552206469817</v>
      </c>
      <c r="Q22" s="2" t="n">
        <v>28.056939</v>
      </c>
      <c r="R22" s="2" t="n">
        <v>11.137573633323488</v>
      </c>
      <c r="S22" s="2" t="n">
        <v>73.7641157272458</v>
      </c>
      <c r="T22" s="2" t="n">
        <v>117.0765699884194</v>
      </c>
      <c r="U22" s="2" t="n">
        <v>0.0008057587912951581</v>
      </c>
      <c r="V22" s="2" t="n">
        <v>31.87875456115313</v>
      </c>
      <c r="W22" s="2" t="n">
        <v>0.00012307463014218757</v>
      </c>
      <c r="X22" s="2" t="n">
        <v>480.6483925171667</v>
      </c>
      <c r="Y22" s="2" t="n">
        <v>269.68162057205126</v>
      </c>
      <c r="Z22" s="2" t="n">
        <v>15.902775702920348</v>
      </c>
      <c r="AA22" s="2" t="n">
        <v>309.62215751869786</v>
      </c>
      <c r="AB22" s="2" t="n">
        <v>13.939009409571327</v>
      </c>
      <c r="AC22" s="2" t="n">
        <v>224.2696703192161</v>
      </c>
      <c r="AD22" s="2" t="n">
        <v>0.5734447578468805</v>
      </c>
      <c r="AE22" s="2" t="n">
        <v>311.9963190837495</v>
      </c>
      <c r="AF22" s="2" t="n">
        <v>316.05973772496054</v>
      </c>
      <c r="AG22" s="2" t="n">
        <v>301.9318088011472</v>
      </c>
      <c r="AH22" s="2" t="n">
        <v>14.127928923813329</v>
      </c>
      <c r="AI22" s="2" t="n">
        <v>3.396426028422842</v>
      </c>
      <c r="AJ22" s="2" t="n">
        <v>315.6575765278807</v>
      </c>
      <c r="AK22" s="2" t="n">
        <v>315.82161332513147</v>
      </c>
      <c r="AL22" s="2" t="n">
        <v>315.98261076858716</v>
      </c>
      <c r="AM22" s="2" t="n">
        <v>9482102232.02484</v>
      </c>
      <c r="AN22" s="2" t="n">
        <v>9475407166.654366</v>
      </c>
      <c r="AO22" s="2" t="n">
        <v>312.0514165184801</v>
      </c>
      <c r="AP22" s="2" t="n">
        <v>253.78235124906405</v>
      </c>
      <c r="AQ22" s="2" t="n">
        <v>3.2707114220461575</v>
      </c>
      <c r="AR22" s="2" t="n">
        <v>22.778439135943902</v>
      </c>
      <c r="AS22" s="2" t="n">
        <v>3.4633288337979096</v>
      </c>
      <c r="AT22" s="2" t="n">
        <v>2.3217780191350985</v>
      </c>
      <c r="AU22" s="2" t="n">
        <v>286.48482754981353</v>
      </c>
      <c r="AV22" s="2" t="n">
        <v>187.76518198150973</v>
      </c>
      <c r="AW22" s="2" t="n">
        <v>7.872383311368044e-05</v>
      </c>
      <c r="AX22" s="2" t="n">
        <v>325</v>
      </c>
      <c r="AY22" s="2" t="n">
        <v>9.775525313671096e-07</v>
      </c>
      <c r="AZ22" s="2" t="s">
        <v>131</v>
      </c>
      <c r="BA22" s="2" t="n">
        <v>4.48</v>
      </c>
      <c r="BB22" s="2" t="s">
        <v>132</v>
      </c>
      <c r="BC22" s="2" t="n">
        <v>4</v>
      </c>
      <c r="BD22" s="2" t="s">
        <v>133</v>
      </c>
      <c r="BE22" s="2" t="n">
        <v>3000</v>
      </c>
      <c r="BF22" s="2" t="s">
        <v>134</v>
      </c>
      <c r="BG22" s="2" t="n">
        <v>120</v>
      </c>
    </row>
    <row r="23" customFormat="false" ht="15" hidden="false" customHeight="false" outlineLevel="0" collapsed="false">
      <c r="A23" s="2" t="s">
        <v>155</v>
      </c>
      <c r="B23" s="2" t="s">
        <v>128</v>
      </c>
      <c r="C23" s="2" t="s">
        <v>129</v>
      </c>
      <c r="D23" s="2" t="s">
        <v>130</v>
      </c>
      <c r="E23" s="2" t="n">
        <v>1</v>
      </c>
      <c r="F23" s="2" t="n">
        <v>575.8091286642341</v>
      </c>
      <c r="G23" s="2" t="n">
        <v>332.27796013766084</v>
      </c>
      <c r="H23" s="2" t="n">
        <v>294.47440566283205</v>
      </c>
      <c r="I23" s="2" t="n">
        <v>1.4149459569252847</v>
      </c>
      <c r="J23" s="2" t="n">
        <v>0.004332089091958844</v>
      </c>
      <c r="K23" s="2" t="n">
        <v>0.0003610074243299037</v>
      </c>
      <c r="L23" s="2" t="n">
        <v>32.09088448750022</v>
      </c>
      <c r="M23" s="2" t="n">
        <v>0.6764081104688351</v>
      </c>
      <c r="N23" s="2" t="n">
        <v>0.91528275687836</v>
      </c>
      <c r="O23" s="2" t="n">
        <v>5.198875</v>
      </c>
      <c r="P23" s="2" t="n">
        <v>3.5165612153136654</v>
      </c>
      <c r="Q23" s="2" t="n">
        <v>28.056939</v>
      </c>
      <c r="R23" s="2" t="n">
        <v>12.836833276339465</v>
      </c>
      <c r="S23" s="2" t="n">
        <v>151.27520906076987</v>
      </c>
      <c r="T23" s="2" t="n">
        <v>223.6448775812539</v>
      </c>
      <c r="U23" s="2" t="n">
        <v>0.0004421986977958405</v>
      </c>
      <c r="V23" s="2" t="n">
        <v>18.668334680990565</v>
      </c>
      <c r="W23" s="2" t="n">
        <v>8.111623774980564e-05</v>
      </c>
      <c r="X23" s="2" t="n">
        <v>373.64657425412213</v>
      </c>
      <c r="Y23" s="2" t="n">
        <v>278.9397508211588</v>
      </c>
      <c r="Z23" s="2" t="n">
        <v>11.076794636316082</v>
      </c>
      <c r="AA23" s="2" t="n">
        <v>340.1561264849521</v>
      </c>
      <c r="AB23" s="2" t="n">
        <v>7.8781663472912555</v>
      </c>
      <c r="AC23" s="2" t="n">
        <v>142.6588793205436</v>
      </c>
      <c r="AD23" s="2" t="n">
        <v>0.4692306147823772</v>
      </c>
      <c r="AE23" s="2" t="n">
        <v>341.2792827963367</v>
      </c>
      <c r="AF23" s="2" t="n">
        <v>343.4252151638602</v>
      </c>
      <c r="AG23" s="2" t="n">
        <v>335.7763181433113</v>
      </c>
      <c r="AH23" s="2" t="n">
        <v>7.648897020548873</v>
      </c>
      <c r="AI23" s="2" t="n">
        <v>1.8018561894353287</v>
      </c>
      <c r="AJ23" s="2" t="n">
        <v>343.21281205533774</v>
      </c>
      <c r="AK23" s="2" t="n">
        <v>343.2956406876803</v>
      </c>
      <c r="AL23" s="2" t="n">
        <v>343.38155138061734</v>
      </c>
      <c r="AM23" s="2" t="n">
        <v>13567882372.68156</v>
      </c>
      <c r="AN23" s="2" t="n">
        <v>13565621695.240824</v>
      </c>
      <c r="AO23" s="2" t="n">
        <v>341.2935002458391</v>
      </c>
      <c r="AP23" s="2" t="n">
        <v>197.28539120617648</v>
      </c>
      <c r="AQ23" s="2" t="n">
        <v>7.07137636971554</v>
      </c>
      <c r="AR23" s="2" t="n">
        <v>40.82200247849537</v>
      </c>
      <c r="AS23" s="2" t="n">
        <v>6.733343855417446</v>
      </c>
      <c r="AT23" s="2" t="n">
        <v>2.2104385087604186</v>
      </c>
      <c r="AU23" s="2" t="n">
        <v>295.5592857230918</v>
      </c>
      <c r="AV23" s="2" t="n">
        <v>111.18050692935162</v>
      </c>
      <c r="AW23" s="2" t="n">
        <v>-0.00010739499349136319</v>
      </c>
      <c r="AX23" s="2" t="n">
        <v>284</v>
      </c>
      <c r="AY23" s="2" t="n">
        <v>9.72332486526284e-07</v>
      </c>
      <c r="AZ23" s="2" t="s">
        <v>131</v>
      </c>
      <c r="BA23" s="2" t="n">
        <v>4.48</v>
      </c>
      <c r="BB23" s="2" t="s">
        <v>132</v>
      </c>
      <c r="BC23" s="2" t="n">
        <v>4</v>
      </c>
      <c r="BD23" s="2" t="s">
        <v>133</v>
      </c>
      <c r="BE23" s="2" t="n">
        <v>3000</v>
      </c>
      <c r="BF23" s="2" t="s">
        <v>134</v>
      </c>
      <c r="BG23" s="2" t="n">
        <v>120</v>
      </c>
    </row>
    <row r="24" customFormat="false" ht="15" hidden="false" customHeight="false" outlineLevel="0" collapsed="false">
      <c r="A24" s="2" t="s">
        <v>156</v>
      </c>
      <c r="B24" s="2" t="s">
        <v>128</v>
      </c>
      <c r="C24" s="2" t="s">
        <v>129</v>
      </c>
      <c r="D24" s="2" t="s">
        <v>130</v>
      </c>
      <c r="E24" s="2" t="n">
        <v>1</v>
      </c>
      <c r="F24" s="2" t="n">
        <v>481.30889358517777</v>
      </c>
      <c r="G24" s="2" t="n">
        <v>293.4261382564862</v>
      </c>
      <c r="H24" s="2" t="n">
        <v>285.901627169421</v>
      </c>
      <c r="I24" s="2" t="n">
        <v>3.64468997088623</v>
      </c>
      <c r="J24" s="2" t="n">
        <v>0.001590809109006416</v>
      </c>
      <c r="K24" s="2" t="n">
        <v>0.00013256742575053467</v>
      </c>
      <c r="L24" s="2" t="n">
        <v>21.690379866721738</v>
      </c>
      <c r="M24" s="2" t="n">
        <v>0.5764008796456099</v>
      </c>
      <c r="N24" s="2" t="n">
        <v>0.8464371531420695</v>
      </c>
      <c r="O24" s="2" t="n">
        <v>5.198875</v>
      </c>
      <c r="P24" s="2" t="n">
        <v>2.9966361231675704</v>
      </c>
      <c r="Q24" s="2" t="n">
        <v>28.056939</v>
      </c>
      <c r="R24" s="2" t="n">
        <v>9.32158057157931</v>
      </c>
      <c r="S24" s="2" t="n">
        <v>30.48420465337441</v>
      </c>
      <c r="T24" s="2" t="n">
        <v>52.88715845145324</v>
      </c>
      <c r="U24" s="2" t="n">
        <v>0.0008058070117238955</v>
      </c>
      <c r="V24" s="2" t="n">
        <v>18.891644592115714</v>
      </c>
      <c r="W24" s="2" t="n">
        <v>3.014343059302856e-05</v>
      </c>
      <c r="X24" s="2" t="n">
        <v>312.3247102096769</v>
      </c>
      <c r="Y24" s="2" t="n">
        <v>266.84804068226003</v>
      </c>
      <c r="Z24" s="2" t="n">
        <v>19.549821889367674</v>
      </c>
      <c r="AA24" s="2" t="n">
        <v>311.82530951809736</v>
      </c>
      <c r="AB24" s="2" t="n">
        <v>18.399171261611173</v>
      </c>
      <c r="AC24" s="2" t="n">
        <v>122.34679942796573</v>
      </c>
      <c r="AD24" s="2" t="n">
        <v>0.48143183358405717</v>
      </c>
      <c r="AE24" s="2" t="n">
        <v>321.8774081998978</v>
      </c>
      <c r="AF24" s="2" t="n">
        <v>330.2597273957995</v>
      </c>
      <c r="AG24" s="2" t="n">
        <v>302.33496156135624</v>
      </c>
      <c r="AH24" s="2" t="n">
        <v>27.924765834443235</v>
      </c>
      <c r="AI24" s="2" t="n">
        <v>7.311532282014261</v>
      </c>
      <c r="AJ24" s="2" t="n">
        <v>329.80326819333305</v>
      </c>
      <c r="AK24" s="2" t="n">
        <v>329.9947771832003</v>
      </c>
      <c r="AL24" s="2" t="n">
        <v>330.1802142271729</v>
      </c>
      <c r="AM24" s="2" t="n">
        <v>10766764025.060247</v>
      </c>
      <c r="AN24" s="2" t="n">
        <v>10734009682.108446</v>
      </c>
      <c r="AO24" s="2" t="n">
        <v>322.12267629133623</v>
      </c>
      <c r="AP24" s="2" t="n">
        <v>164.9074469907094</v>
      </c>
      <c r="AQ24" s="2" t="n">
        <v>4.909842654700898</v>
      </c>
      <c r="AR24" s="2" t="n">
        <v>32.475135926927685</v>
      </c>
      <c r="AS24" s="2" t="n">
        <v>5.175471424793103</v>
      </c>
      <c r="AT24" s="2" t="n">
        <v>2.2405986678194583</v>
      </c>
      <c r="AU24" s="2" t="n">
        <v>285.5057696377151</v>
      </c>
      <c r="AV24" s="2" t="n">
        <v>178.19226534247596</v>
      </c>
      <c r="AW24" s="2" t="n">
        <v>0.00012030035893929022</v>
      </c>
      <c r="AX24" s="2" t="n">
        <v>972</v>
      </c>
      <c r="AY24" s="2" t="n">
        <v>9.972085308618261e-07</v>
      </c>
      <c r="AZ24" s="2" t="s">
        <v>131</v>
      </c>
      <c r="BA24" s="2" t="n">
        <v>4.48</v>
      </c>
      <c r="BB24" s="2" t="s">
        <v>132</v>
      </c>
      <c r="BC24" s="2" t="n">
        <v>4</v>
      </c>
      <c r="BD24" s="2" t="s">
        <v>133</v>
      </c>
      <c r="BE24" s="2" t="n">
        <v>3000</v>
      </c>
      <c r="BF24" s="2" t="s">
        <v>134</v>
      </c>
      <c r="BG24" s="2" t="n">
        <v>120</v>
      </c>
    </row>
    <row r="25" customFormat="false" ht="15" hidden="false" customHeight="false" outlineLevel="0" collapsed="false">
      <c r="A25" s="2" t="s">
        <v>157</v>
      </c>
      <c r="B25" s="2" t="s">
        <v>128</v>
      </c>
      <c r="C25" s="2" t="s">
        <v>129</v>
      </c>
      <c r="D25" s="2" t="s">
        <v>130</v>
      </c>
      <c r="E25" s="2" t="n">
        <v>1</v>
      </c>
      <c r="F25" s="2" t="n">
        <v>840.5578545131132</v>
      </c>
      <c r="G25" s="2" t="n">
        <v>314.36622555450464</v>
      </c>
      <c r="H25" s="2" t="n">
        <v>305.38920059074565</v>
      </c>
      <c r="I25" s="2" t="n">
        <v>2.218798755709883</v>
      </c>
      <c r="J25" s="2" t="n">
        <v>0.0016515560946089598</v>
      </c>
      <c r="K25" s="2" t="n">
        <v>0.00013762967455074665</v>
      </c>
      <c r="L25" s="2" t="n">
        <v>22.23381372332959</v>
      </c>
      <c r="M25" s="2" t="n">
        <v>0.7580689848174975</v>
      </c>
      <c r="N25" s="2" t="n">
        <v>1.93852390057473</v>
      </c>
      <c r="O25" s="2" t="n">
        <v>5.198875</v>
      </c>
      <c r="P25" s="2" t="n">
        <v>3.9411058934430683</v>
      </c>
      <c r="Q25" s="2" t="n">
        <v>28.056939</v>
      </c>
      <c r="R25" s="2" t="n">
        <v>16.123441455386054</v>
      </c>
      <c r="S25" s="2" t="n">
        <v>52.69805626014747</v>
      </c>
      <c r="T25" s="2" t="n">
        <v>69.51617506530006</v>
      </c>
      <c r="U25" s="2" t="n">
        <v>0.0004839344881616686</v>
      </c>
      <c r="V25" s="2" t="n">
        <v>4.9667875036908935</v>
      </c>
      <c r="W25" s="2" t="n">
        <v>8.22761100536441e-06</v>
      </c>
      <c r="X25" s="2" t="n">
        <v>545.4438756985406</v>
      </c>
      <c r="Y25" s="2" t="n">
        <v>294.59107853532447</v>
      </c>
      <c r="Z25" s="2" t="n">
        <v>14.131435271697555</v>
      </c>
      <c r="AA25" s="2" t="n">
        <v>346.1694424035874</v>
      </c>
      <c r="AB25" s="2" t="n">
        <v>31.803216849082787</v>
      </c>
      <c r="AC25" s="2" t="n">
        <v>219.5536498518413</v>
      </c>
      <c r="AD25" s="2" t="n">
        <v>0.4946968305690743</v>
      </c>
      <c r="AE25" s="2" t="n">
        <v>363.87841774469973</v>
      </c>
      <c r="AF25" s="2" t="n">
        <v>378.65760702052194</v>
      </c>
      <c r="AG25" s="2" t="n">
        <v>329.3561586670603</v>
      </c>
      <c r="AH25" s="2" t="n">
        <v>49.30144835346164</v>
      </c>
      <c r="AI25" s="2" t="n">
        <v>12.864953786852947</v>
      </c>
      <c r="AJ25" s="2" t="n">
        <v>377.7865937420729</v>
      </c>
      <c r="AK25" s="2" t="n">
        <v>378.1473819739496</v>
      </c>
      <c r="AL25" s="2" t="n">
        <v>378.50389236714426</v>
      </c>
      <c r="AM25" s="2" t="n">
        <v>17660647771.592686</v>
      </c>
      <c r="AN25" s="2" t="n">
        <v>17531746824.315773</v>
      </c>
      <c r="AO25" s="2" t="n">
        <v>364.5454291729718</v>
      </c>
      <c r="AP25" s="2" t="n">
        <v>287.99436636882945</v>
      </c>
      <c r="AQ25" s="2" t="n">
        <v>10.291032891530339</v>
      </c>
      <c r="AR25" s="2" t="n">
        <v>49.73522525981218</v>
      </c>
      <c r="AS25" s="2" t="n">
        <v>8.414251570587643</v>
      </c>
      <c r="AT25" s="2" t="n">
        <v>2.216178903878517</v>
      </c>
      <c r="AU25" s="2" t="n">
        <v>308.1757521414222</v>
      </c>
      <c r="AV25" s="2" t="n">
        <v>323.58204985042863</v>
      </c>
      <c r="AW25" s="2" t="n">
        <v>7.20221501136992e-05</v>
      </c>
      <c r="AX25" s="2" t="n">
        <v>1045</v>
      </c>
      <c r="AY25" s="2" t="n">
        <v>9.93904393453704e-07</v>
      </c>
      <c r="AZ25" s="2" t="s">
        <v>131</v>
      </c>
      <c r="BA25" s="2" t="n">
        <v>4.48</v>
      </c>
      <c r="BB25" s="2" t="s">
        <v>132</v>
      </c>
      <c r="BC25" s="2" t="n">
        <v>4</v>
      </c>
      <c r="BD25" s="2" t="s">
        <v>133</v>
      </c>
      <c r="BE25" s="2" t="n">
        <v>3000</v>
      </c>
      <c r="BF25" s="2" t="s">
        <v>134</v>
      </c>
      <c r="BG25" s="2" t="n">
        <v>120</v>
      </c>
    </row>
    <row r="26" customFormat="false" ht="15" hidden="false" customHeight="false" outlineLevel="0" collapsed="false">
      <c r="A26" s="2" t="s">
        <v>158</v>
      </c>
      <c r="B26" s="2" t="s">
        <v>128</v>
      </c>
      <c r="C26" s="2" t="s">
        <v>129</v>
      </c>
      <c r="D26" s="2" t="s">
        <v>130</v>
      </c>
      <c r="E26" s="2" t="n">
        <v>1</v>
      </c>
      <c r="F26" s="2" t="n">
        <v>663.4160035645798</v>
      </c>
      <c r="G26" s="2" t="n">
        <v>310.5827117804662</v>
      </c>
      <c r="H26" s="2" t="n">
        <v>298.916339551277</v>
      </c>
      <c r="I26" s="2" t="n">
        <v>4.290005907723083</v>
      </c>
      <c r="J26" s="2" t="n">
        <v>0.0031277797126653926</v>
      </c>
      <c r="K26" s="2" t="n">
        <v>0.0002606483093887827</v>
      </c>
      <c r="L26" s="2" t="n">
        <v>34.931395342996524</v>
      </c>
      <c r="M26" s="2" t="n">
        <v>0.783806408221136</v>
      </c>
      <c r="N26" s="2" t="n">
        <v>1.2722145457524183</v>
      </c>
      <c r="O26" s="2" t="n">
        <v>5.198875</v>
      </c>
      <c r="P26" s="2" t="n">
        <v>4.074911540540659</v>
      </c>
      <c r="Q26" s="2" t="n">
        <v>28.056939</v>
      </c>
      <c r="R26" s="2" t="n">
        <v>17.236850212094293</v>
      </c>
      <c r="S26" s="2" t="n">
        <v>80.96535363715972</v>
      </c>
      <c r="T26" s="2" t="n">
        <v>103.29764185127318</v>
      </c>
      <c r="U26" s="2" t="n">
        <v>0.0005965196891079064</v>
      </c>
      <c r="V26" s="2" t="n">
        <v>12.062710463654337</v>
      </c>
      <c r="W26" s="2" t="n">
        <v>3.784303015844994e-05</v>
      </c>
      <c r="X26" s="2" t="n">
        <v>430.49528862508066</v>
      </c>
      <c r="Y26" s="2" t="n">
        <v>285.27489932392865</v>
      </c>
      <c r="Z26" s="2" t="n">
        <v>22.002022449347713</v>
      </c>
      <c r="AA26" s="2" t="n">
        <v>325.2142236222933</v>
      </c>
      <c r="AB26" s="2" t="n">
        <v>14.631511841827091</v>
      </c>
      <c r="AC26" s="2" t="n">
        <v>191.29412988076913</v>
      </c>
      <c r="AD26" s="2" t="n">
        <v>0.5461120721596818</v>
      </c>
      <c r="AE26" s="2" t="n">
        <v>329.0531302501967</v>
      </c>
      <c r="AF26" s="2" t="n">
        <v>333.9905186408996</v>
      </c>
      <c r="AG26" s="2" t="n">
        <v>317.2205563525965</v>
      </c>
      <c r="AH26" s="2" t="n">
        <v>16.769962288303134</v>
      </c>
      <c r="AI26" s="2" t="n">
        <v>4.188742720751572</v>
      </c>
      <c r="AJ26" s="2" t="n">
        <v>333.58288225608675</v>
      </c>
      <c r="AK26" s="2" t="n">
        <v>333.7473510475928</v>
      </c>
      <c r="AL26" s="2" t="n">
        <v>333.91109101431437</v>
      </c>
      <c r="AM26" s="2" t="n">
        <v>11734994036.185349</v>
      </c>
      <c r="AN26" s="2" t="n">
        <v>11723684061.24639</v>
      </c>
      <c r="AO26" s="2" t="n">
        <v>329.1324619058667</v>
      </c>
      <c r="AP26" s="2" t="n">
        <v>227.3015123940426</v>
      </c>
      <c r="AQ26" s="2" t="n">
        <v>4.504971708761782</v>
      </c>
      <c r="AR26" s="2" t="n">
        <v>27.166731071598907</v>
      </c>
      <c r="AS26" s="2" t="n">
        <v>4.335474995389199</v>
      </c>
      <c r="AT26" s="2" t="n">
        <v>2.2628753305499645</v>
      </c>
      <c r="AU26" s="2" t="n">
        <v>298.62682116020443</v>
      </c>
      <c r="AV26" s="2" t="n">
        <v>191.78501820056866</v>
      </c>
      <c r="AW26" s="2" t="n">
        <v>9.002694537734528e-05</v>
      </c>
      <c r="AX26" s="2" t="n">
        <v>444</v>
      </c>
      <c r="AY26" s="2" t="n">
        <v>9.855535267888627e-07</v>
      </c>
      <c r="AZ26" s="2" t="s">
        <v>131</v>
      </c>
      <c r="BA26" s="2" t="n">
        <v>4.48</v>
      </c>
      <c r="BB26" s="2" t="s">
        <v>132</v>
      </c>
      <c r="BC26" s="2" t="n">
        <v>4</v>
      </c>
      <c r="BD26" s="2" t="s">
        <v>133</v>
      </c>
      <c r="BE26" s="2" t="n">
        <v>3000</v>
      </c>
      <c r="BF26" s="2" t="s">
        <v>134</v>
      </c>
      <c r="BG26" s="2" t="n">
        <v>120</v>
      </c>
    </row>
    <row r="27" customFormat="false" ht="15" hidden="false" customHeight="false" outlineLevel="0" collapsed="false">
      <c r="A27" s="2" t="s">
        <v>159</v>
      </c>
      <c r="B27" s="2" t="s">
        <v>128</v>
      </c>
      <c r="C27" s="2" t="s">
        <v>129</v>
      </c>
      <c r="D27" s="2" t="s">
        <v>130</v>
      </c>
      <c r="E27" s="2" t="n">
        <v>1</v>
      </c>
      <c r="F27" s="2" t="n">
        <v>421.5005918573323</v>
      </c>
      <c r="G27" s="2" t="n">
        <v>298.6573392290255</v>
      </c>
      <c r="H27" s="2" t="n">
        <v>310.43000087410496</v>
      </c>
      <c r="I27" s="2" t="n">
        <v>1.8860925711040535</v>
      </c>
      <c r="J27" s="2" t="n">
        <v>0.004410445175473992</v>
      </c>
      <c r="K27" s="2" t="n">
        <v>0.000367537097956166</v>
      </c>
      <c r="L27" s="2" t="n">
        <v>21.54457777508085</v>
      </c>
      <c r="M27" s="2" t="n">
        <v>0.8089643779785041</v>
      </c>
      <c r="N27" s="2" t="n">
        <v>1.6980640840407666</v>
      </c>
      <c r="O27" s="2" t="n">
        <v>5.198875</v>
      </c>
      <c r="P27" s="2" t="n">
        <v>4.205704680562996</v>
      </c>
      <c r="Q27" s="2" t="n">
        <v>28.056939</v>
      </c>
      <c r="R27" s="2" t="n">
        <v>18.36111642743867</v>
      </c>
      <c r="S27" s="2" t="n">
        <v>84.41001292454406</v>
      </c>
      <c r="T27" s="2" t="n">
        <v>104.34330017778235</v>
      </c>
      <c r="U27" s="2" t="n">
        <v>0.0008068193449888128</v>
      </c>
      <c r="V27" s="2" t="n">
        <v>20.447330209938123</v>
      </c>
      <c r="W27" s="2" t="n">
        <v>9.045318844106841e-05</v>
      </c>
      <c r="X27" s="2" t="n">
        <v>273.51468456036594</v>
      </c>
      <c r="Y27" s="2" t="n">
        <v>301.91494185263116</v>
      </c>
      <c r="Z27" s="2" t="n">
        <v>12.867151770195402</v>
      </c>
      <c r="AA27" s="2" t="n">
        <v>306.5293401620233</v>
      </c>
      <c r="AB27" s="2" t="n">
        <v>7.872000932997764</v>
      </c>
      <c r="AC27" s="2" t="n">
        <v>145.125539281595</v>
      </c>
      <c r="AD27" s="2" t="n">
        <v>0.6520962988472974</v>
      </c>
      <c r="AE27" s="2" t="n">
        <v>307.51674529687256</v>
      </c>
      <c r="AF27" s="2" t="n">
        <v>309.61472479650365</v>
      </c>
      <c r="AG27" s="2" t="n">
        <v>302.1500237621976</v>
      </c>
      <c r="AH27" s="2" t="n">
        <v>7.464701034306074</v>
      </c>
      <c r="AI27" s="2" t="n">
        <v>1.743729843388729</v>
      </c>
      <c r="AJ27" s="2" t="n">
        <v>309.3922577438599</v>
      </c>
      <c r="AK27" s="2" t="n">
        <v>309.4793046224724</v>
      </c>
      <c r="AL27" s="2" t="n">
        <v>309.56869459979805</v>
      </c>
      <c r="AM27" s="2" t="n">
        <v>8944551034.518242</v>
      </c>
      <c r="AN27" s="2" t="n">
        <v>8942832121.299738</v>
      </c>
      <c r="AO27" s="2" t="n">
        <v>307.53152127876547</v>
      </c>
      <c r="AP27" s="2" t="n">
        <v>144.41575344787321</v>
      </c>
      <c r="AQ27" s="2" t="n">
        <v>-0.03731233462873539</v>
      </c>
      <c r="AR27" s="2" t="n">
        <v>-0.25317852582157574</v>
      </c>
      <c r="AS27" s="2" t="n">
        <v>-0.4191005882627664</v>
      </c>
      <c r="AT27" s="2" t="n">
        <v>0.46143955314175683</v>
      </c>
      <c r="AU27" s="2" t="n">
        <v>307.80030124113745</v>
      </c>
      <c r="AV27" s="2" t="n">
        <v>108.53489022181824</v>
      </c>
      <c r="AW27" s="2" t="n">
        <v>-0.00013598808428877022</v>
      </c>
      <c r="AX27" s="2" t="n">
        <v>263</v>
      </c>
      <c r="AY27" s="2" t="n">
        <v>9.578354251971177e-07</v>
      </c>
      <c r="AZ27" s="2" t="s">
        <v>131</v>
      </c>
      <c r="BA27" s="2" t="n">
        <v>4.48</v>
      </c>
      <c r="BB27" s="2" t="s">
        <v>132</v>
      </c>
      <c r="BC27" s="2" t="n">
        <v>4</v>
      </c>
      <c r="BD27" s="2" t="s">
        <v>133</v>
      </c>
      <c r="BE27" s="2" t="n">
        <v>3000</v>
      </c>
      <c r="BF27" s="2" t="s">
        <v>134</v>
      </c>
      <c r="BG27" s="2" t="n">
        <v>120</v>
      </c>
    </row>
    <row r="28" customFormat="false" ht="15" hidden="false" customHeight="false" outlineLevel="0" collapsed="false">
      <c r="A28" s="2" t="s">
        <v>160</v>
      </c>
      <c r="B28" s="2" t="s">
        <v>128</v>
      </c>
      <c r="C28" s="2" t="s">
        <v>129</v>
      </c>
      <c r="D28" s="2" t="s">
        <v>130</v>
      </c>
      <c r="E28" s="2" t="n">
        <v>1</v>
      </c>
      <c r="F28" s="2" t="n">
        <v>408.50907704273624</v>
      </c>
      <c r="G28" s="2" t="n">
        <v>296.4790712363447</v>
      </c>
      <c r="H28" s="2" t="n">
        <v>312.56910287978417</v>
      </c>
      <c r="I28" s="2" t="n">
        <v>1.2345751946256387</v>
      </c>
      <c r="J28" s="2" t="n">
        <v>0.0018717639114603098</v>
      </c>
      <c r="K28" s="2" t="n">
        <v>0.0001559803259550258</v>
      </c>
      <c r="L28" s="2" t="n">
        <v>30.58581891513459</v>
      </c>
      <c r="M28" s="2" t="n">
        <v>0.6131362993740954</v>
      </c>
      <c r="N28" s="2" t="n">
        <v>1.628735291461313</v>
      </c>
      <c r="O28" s="2" t="n">
        <v>5.198875</v>
      </c>
      <c r="P28" s="2" t="n">
        <v>3.1876189784085005</v>
      </c>
      <c r="Q28" s="2" t="n">
        <v>28.056939</v>
      </c>
      <c r="R28" s="2" t="n">
        <v>10.547616831912851</v>
      </c>
      <c r="S28" s="2" t="n">
        <v>37.478845005047226</v>
      </c>
      <c r="T28" s="2" t="n">
        <v>61.126449442491904</v>
      </c>
      <c r="U28" s="2" t="n">
        <v>0.0007711745922221762</v>
      </c>
      <c r="V28" s="2" t="n">
        <v>13.918714869327896</v>
      </c>
      <c r="W28" s="2" t="n">
        <v>2.6130941009341984e-05</v>
      </c>
      <c r="X28" s="2" t="n">
        <v>265.08439965657084</v>
      </c>
      <c r="Y28" s="2" t="n">
        <v>305.04095162594473</v>
      </c>
      <c r="Z28" s="2" t="n">
        <v>10.391385739577427</v>
      </c>
      <c r="AA28" s="2" t="n">
        <v>312.9161164201785</v>
      </c>
      <c r="AB28" s="2" t="n">
        <v>16.437045183833845</v>
      </c>
      <c r="AC28" s="2" t="n">
        <v>128.60300018207644</v>
      </c>
      <c r="AD28" s="2" t="n">
        <v>0.5962322550745889</v>
      </c>
      <c r="AE28" s="2" t="n">
        <v>320.78232009567984</v>
      </c>
      <c r="AF28" s="2" t="n">
        <v>327.89135638666124</v>
      </c>
      <c r="AG28" s="2" t="n">
        <v>304.2769377647842</v>
      </c>
      <c r="AH28" s="2" t="n">
        <v>23.614418621877064</v>
      </c>
      <c r="AI28" s="2" t="n">
        <v>6.152025081735347</v>
      </c>
      <c r="AJ28" s="2" t="n">
        <v>327.46798500382465</v>
      </c>
      <c r="AK28" s="2" t="n">
        <v>327.6418600704115</v>
      </c>
      <c r="AL28" s="2" t="n">
        <v>327.8171349902126</v>
      </c>
      <c r="AM28" s="2" t="n">
        <v>10611756194.196503</v>
      </c>
      <c r="AN28" s="2" t="n">
        <v>10588676900.813963</v>
      </c>
      <c r="AO28" s="2" t="n">
        <v>320.9569733073183</v>
      </c>
      <c r="AP28" s="2" t="n">
        <v>139.9645630186694</v>
      </c>
      <c r="AQ28" s="2" t="n">
        <v>1.4895778070523766</v>
      </c>
      <c r="AR28" s="2" t="n">
        <v>8.690236414642847</v>
      </c>
      <c r="AS28" s="2" t="n">
        <v>1.181552416345782</v>
      </c>
      <c r="AT28" s="2" t="n">
        <v>2.6199369707762687</v>
      </c>
      <c r="AU28" s="2" t="n">
        <v>311.0493927692317</v>
      </c>
      <c r="AV28" s="2" t="n">
        <v>174.31808545099338</v>
      </c>
      <c r="AW28" s="2" t="n">
        <v>0.00014037505623556437</v>
      </c>
      <c r="AX28" s="2" t="n">
        <v>814</v>
      </c>
      <c r="AY28" s="2" t="n">
        <v>9.856506721916958e-07</v>
      </c>
      <c r="AZ28" s="2" t="s">
        <v>131</v>
      </c>
      <c r="BA28" s="2" t="n">
        <v>4.48</v>
      </c>
      <c r="BB28" s="2" t="s">
        <v>132</v>
      </c>
      <c r="BC28" s="2" t="n">
        <v>4</v>
      </c>
      <c r="BD28" s="2" t="s">
        <v>133</v>
      </c>
      <c r="BE28" s="2" t="n">
        <v>3000</v>
      </c>
      <c r="BF28" s="2" t="s">
        <v>134</v>
      </c>
      <c r="BG28" s="2" t="n">
        <v>120</v>
      </c>
    </row>
    <row r="29" customFormat="false" ht="15" hidden="false" customHeight="false" outlineLevel="0" collapsed="false">
      <c r="A29" s="2" t="s">
        <v>161</v>
      </c>
      <c r="B29" s="2" t="s">
        <v>128</v>
      </c>
      <c r="C29" s="2" t="s">
        <v>129</v>
      </c>
      <c r="D29" s="2" t="s">
        <v>130</v>
      </c>
      <c r="E29" s="2" t="n">
        <v>1</v>
      </c>
      <c r="F29" s="2" t="n">
        <v>533.7717249623478</v>
      </c>
      <c r="G29" s="2" t="n">
        <v>328.4800653141074</v>
      </c>
      <c r="H29" s="2" t="n">
        <v>305.64624468197803</v>
      </c>
      <c r="I29" s="2" t="n">
        <v>1.6442984620085008</v>
      </c>
      <c r="J29" s="2" t="n">
        <v>0.0032209435954548213</v>
      </c>
      <c r="K29" s="2" t="n">
        <v>0.0002684119662879018</v>
      </c>
      <c r="L29" s="2" t="n">
        <v>29.379524285696817</v>
      </c>
      <c r="M29" s="2" t="n">
        <v>0.5079446953905744</v>
      </c>
      <c r="N29" s="2" t="n">
        <v>1.335486918080236</v>
      </c>
      <c r="O29" s="2" t="n">
        <v>5.198875</v>
      </c>
      <c r="P29" s="2" t="n">
        <v>2.6407409782486724</v>
      </c>
      <c r="Q29" s="2" t="n">
        <v>28.056939</v>
      </c>
      <c r="R29" s="2" t="n">
        <v>7.2389094870090265</v>
      </c>
      <c r="S29" s="2" t="n">
        <v>108.3050759052246</v>
      </c>
      <c r="T29" s="2" t="n">
        <v>213.22218124936904</v>
      </c>
      <c r="U29" s="2" t="n">
        <v>0.0004592214336596029</v>
      </c>
      <c r="V29" s="2" t="n">
        <v>23.375367237683403</v>
      </c>
      <c r="W29" s="2" t="n">
        <v>7.55172912694291e-05</v>
      </c>
      <c r="X29" s="2" t="n">
        <v>346.3682087301421</v>
      </c>
      <c r="Y29" s="2" t="n">
        <v>294.9630898616225</v>
      </c>
      <c r="Z29" s="2" t="n">
        <v>11.948334155632303</v>
      </c>
      <c r="AA29" s="2" t="n">
        <v>338.91669750236696</v>
      </c>
      <c r="AB29" s="2" t="n">
        <v>10.43663218825958</v>
      </c>
      <c r="AC29" s="2" t="n">
        <v>140.5140590684499</v>
      </c>
      <c r="AD29" s="2" t="n">
        <v>0.4985747641294351</v>
      </c>
      <c r="AE29" s="2" t="n">
        <v>341.60104207813</v>
      </c>
      <c r="AF29" s="2" t="n">
        <v>345.1540998743312</v>
      </c>
      <c r="AG29" s="2" t="n">
        <v>333.0326188358035</v>
      </c>
      <c r="AH29" s="2" t="n">
        <v>12.121481038527747</v>
      </c>
      <c r="AI29" s="2" t="n">
        <v>2.9986847266077863</v>
      </c>
      <c r="AJ29" s="2" t="n">
        <v>344.83477712014576</v>
      </c>
      <c r="AK29" s="2" t="n">
        <v>344.96785086356704</v>
      </c>
      <c r="AL29" s="2" t="n">
        <v>345.09437487844207</v>
      </c>
      <c r="AM29" s="2" t="n">
        <v>13623110527.935247</v>
      </c>
      <c r="AN29" s="2" t="n">
        <v>13616852949.04381</v>
      </c>
      <c r="AO29" s="2" t="n">
        <v>341.6402807187527</v>
      </c>
      <c r="AP29" s="2" t="n">
        <v>182.88241420951505</v>
      </c>
      <c r="AQ29" s="2" t="n">
        <v>5.73339947361819</v>
      </c>
      <c r="AR29" s="2" t="n">
        <v>31.462294578778398</v>
      </c>
      <c r="AS29" s="2" t="n">
        <v>5.172452721745493</v>
      </c>
      <c r="AT29" s="2" t="n">
        <v>2.231777194402044</v>
      </c>
      <c r="AU29" s="2" t="n">
        <v>306.36376980524057</v>
      </c>
      <c r="AV29" s="2" t="n">
        <v>139.90393676628128</v>
      </c>
      <c r="AW29" s="2" t="n">
        <v>0.00011446302753383241</v>
      </c>
      <c r="AX29" s="2" t="n">
        <v>389</v>
      </c>
      <c r="AY29" s="2" t="n">
        <v>9.91254353266413e-07</v>
      </c>
      <c r="AZ29" s="2" t="s">
        <v>131</v>
      </c>
      <c r="BA29" s="2" t="n">
        <v>4.48</v>
      </c>
      <c r="BB29" s="2" t="s">
        <v>132</v>
      </c>
      <c r="BC29" s="2" t="n">
        <v>4</v>
      </c>
      <c r="BD29" s="2" t="s">
        <v>133</v>
      </c>
      <c r="BE29" s="2" t="n">
        <v>3000</v>
      </c>
      <c r="BF29" s="2" t="s">
        <v>134</v>
      </c>
      <c r="BG29" s="2" t="n">
        <v>120</v>
      </c>
    </row>
    <row r="30" customFormat="false" ht="15" hidden="false" customHeight="false" outlineLevel="0" collapsed="false">
      <c r="A30" s="2" t="s">
        <v>162</v>
      </c>
      <c r="B30" s="2" t="s">
        <v>128</v>
      </c>
      <c r="C30" s="2" t="s">
        <v>129</v>
      </c>
      <c r="D30" s="2" t="s">
        <v>130</v>
      </c>
      <c r="E30" s="2" t="n">
        <v>1</v>
      </c>
      <c r="F30" s="2" t="n">
        <v>774.0704827830687</v>
      </c>
      <c r="G30" s="2" t="n">
        <v>292.8302858882695</v>
      </c>
      <c r="H30" s="2" t="n">
        <v>287.7378441888248</v>
      </c>
      <c r="I30" s="2" t="n">
        <v>0.8734692354637669</v>
      </c>
      <c r="J30" s="2" t="n">
        <v>0.0043438929660902705</v>
      </c>
      <c r="K30" s="2" t="n">
        <v>0.00036199108050752256</v>
      </c>
      <c r="L30" s="2" t="n">
        <v>28.640103531612404</v>
      </c>
      <c r="M30" s="2" t="n">
        <v>0.5047817753499757</v>
      </c>
      <c r="N30" s="2" t="n">
        <v>1.6718012767768196</v>
      </c>
      <c r="O30" s="2" t="n">
        <v>5.198875</v>
      </c>
      <c r="P30" s="2" t="n">
        <v>2.6242973523226047</v>
      </c>
      <c r="Q30" s="2" t="n">
        <v>28.056939</v>
      </c>
      <c r="R30" s="2" t="n">
        <v>7.14903826175152</v>
      </c>
      <c r="S30" s="2" t="n">
        <v>77.53292124714763</v>
      </c>
      <c r="T30" s="2" t="n">
        <v>153.5969106519197</v>
      </c>
      <c r="U30" s="2" t="n">
        <v>0.0008651288795630653</v>
      </c>
      <c r="V30" s="2" t="n">
        <v>53.243510109310705</v>
      </c>
      <c r="W30" s="2" t="n">
        <v>0.00023198004920139517</v>
      </c>
      <c r="X30" s="2" t="n">
        <v>502.2997547713127</v>
      </c>
      <c r="Y30" s="2" t="n">
        <v>269.4229306516038</v>
      </c>
      <c r="Z30" s="2" t="n">
        <v>9.019183094762314</v>
      </c>
      <c r="AA30" s="2" t="n">
        <v>306.0150952411693</v>
      </c>
      <c r="AB30" s="2" t="n">
        <v>13.184809352899833</v>
      </c>
      <c r="AC30" s="2" t="n">
        <v>239.4028145385257</v>
      </c>
      <c r="AD30" s="2" t="n">
        <v>0.5857534056127403</v>
      </c>
      <c r="AE30" s="2" t="n">
        <v>307.6857797386612</v>
      </c>
      <c r="AF30" s="2" t="n">
        <v>311.1526950303071</v>
      </c>
      <c r="AG30" s="2" t="n">
        <v>298.904906254328</v>
      </c>
      <c r="AH30" s="2" t="n">
        <v>12.247788775979075</v>
      </c>
      <c r="AI30" s="2" t="n">
        <v>2.892976288481195</v>
      </c>
      <c r="AJ30" s="2" t="n">
        <v>310.80251499646806</v>
      </c>
      <c r="AK30" s="2" t="n">
        <v>310.93790375346407</v>
      </c>
      <c r="AL30" s="2" t="n">
        <v>311.08136676550595</v>
      </c>
      <c r="AM30" s="2" t="n">
        <v>8967239710.873594</v>
      </c>
      <c r="AN30" s="2" t="n">
        <v>8962510964.659052</v>
      </c>
      <c r="AO30" s="2" t="n">
        <v>307.72635654206664</v>
      </c>
      <c r="AP30" s="2" t="n">
        <v>265.2142705192531</v>
      </c>
      <c r="AQ30" s="2" t="n">
        <v>2.807483327315254</v>
      </c>
      <c r="AR30" s="2" t="n">
        <v>20.13406873667084</v>
      </c>
      <c r="AS30" s="2" t="n">
        <v>2.8697075494853914</v>
      </c>
      <c r="AT30" s="2" t="n">
        <v>2.4506462422991477</v>
      </c>
      <c r="AU30" s="2" t="n">
        <v>285.13594122454055</v>
      </c>
      <c r="AV30" s="2" t="n">
        <v>179.16892426010105</v>
      </c>
      <c r="AW30" s="2" t="n">
        <v>7.571504531127652e-05</v>
      </c>
      <c r="AX30" s="2" t="n">
        <v>269</v>
      </c>
      <c r="AY30" s="2" t="n">
        <v>9.736766060086666e-07</v>
      </c>
      <c r="AZ30" s="2" t="s">
        <v>131</v>
      </c>
      <c r="BA30" s="2" t="n">
        <v>4.48</v>
      </c>
      <c r="BB30" s="2" t="s">
        <v>132</v>
      </c>
      <c r="BC30" s="2" t="n">
        <v>4</v>
      </c>
      <c r="BD30" s="2" t="s">
        <v>133</v>
      </c>
      <c r="BE30" s="2" t="n">
        <v>3000</v>
      </c>
      <c r="BF30" s="2" t="s">
        <v>134</v>
      </c>
      <c r="BG30" s="2" t="n">
        <v>120</v>
      </c>
    </row>
    <row r="31" customFormat="false" ht="15" hidden="false" customHeight="false" outlineLevel="0" collapsed="false">
      <c r="A31" s="2" t="s">
        <v>163</v>
      </c>
      <c r="B31" s="2" t="s">
        <v>128</v>
      </c>
      <c r="C31" s="2" t="s">
        <v>129</v>
      </c>
      <c r="D31" s="2" t="s">
        <v>130</v>
      </c>
      <c r="E31" s="2" t="n">
        <v>1</v>
      </c>
      <c r="F31" s="2" t="n">
        <v>524.0092100598043</v>
      </c>
      <c r="G31" s="2" t="n">
        <v>326.54134128328894</v>
      </c>
      <c r="H31" s="2" t="n">
        <v>294.71308538018474</v>
      </c>
      <c r="I31" s="2" t="n">
        <v>4.844737563251959</v>
      </c>
      <c r="J31" s="2" t="n">
        <v>0.001014528745999696</v>
      </c>
      <c r="K31" s="2" t="n">
        <v>8.454406216664134e-05</v>
      </c>
      <c r="L31" s="2" t="n">
        <v>36.72028606042984</v>
      </c>
      <c r="M31" s="2" t="n">
        <v>0.9117852116737594</v>
      </c>
      <c r="N31" s="2" t="n">
        <v>1.3510623911215758</v>
      </c>
      <c r="O31" s="2" t="n">
        <v>5.198875</v>
      </c>
      <c r="P31" s="2" t="n">
        <v>4.740257342340416</v>
      </c>
      <c r="Q31" s="2" t="n">
        <v>28.056939</v>
      </c>
      <c r="R31" s="2" t="n">
        <v>23.32519998938327</v>
      </c>
      <c r="S31" s="2" t="n">
        <v>36.393210632528884</v>
      </c>
      <c r="T31" s="2" t="n">
        <v>39.914236562053965</v>
      </c>
      <c r="U31" s="2" t="n">
        <v>0.000430459034769681</v>
      </c>
      <c r="V31" s="2" t="n">
        <v>2.108985362037262</v>
      </c>
      <c r="W31" s="2" t="n">
        <v>2.1460644680836296e-06</v>
      </c>
      <c r="X31" s="2" t="n">
        <v>340.0332444722774</v>
      </c>
      <c r="Y31" s="2" t="n">
        <v>279.27895220061794</v>
      </c>
      <c r="Z31" s="2" t="n">
        <v>24.110002740357444</v>
      </c>
      <c r="AA31" s="2" t="n">
        <v>349.4424623578663</v>
      </c>
      <c r="AB31" s="2" t="n">
        <v>22.90112107457736</v>
      </c>
      <c r="AC31" s="2" t="n">
        <v>97.1174747993528</v>
      </c>
      <c r="AD31" s="2" t="n">
        <v>0.35101408111017446</v>
      </c>
      <c r="AE31" s="2" t="n">
        <v>364.6388391568251</v>
      </c>
      <c r="AF31" s="2" t="n">
        <v>375.02457180295454</v>
      </c>
      <c r="AG31" s="2" t="n">
        <v>339.68750605294645</v>
      </c>
      <c r="AH31" s="2" t="n">
        <v>35.337065750008094</v>
      </c>
      <c r="AI31" s="2" t="n">
        <v>9.342345230653564</v>
      </c>
      <c r="AJ31" s="2" t="n">
        <v>374.65203762098315</v>
      </c>
      <c r="AK31" s="2" t="n">
        <v>374.88495269926193</v>
      </c>
      <c r="AL31" s="2" t="n">
        <v>374.98198519881976</v>
      </c>
      <c r="AM31" s="2" t="n">
        <v>17747262093.18454</v>
      </c>
      <c r="AN31" s="2" t="n">
        <v>17678755967.313053</v>
      </c>
      <c r="AO31" s="2" t="n">
        <v>364.9915757483973</v>
      </c>
      <c r="AP31" s="2" t="n">
        <v>179.53755308136246</v>
      </c>
      <c r="AQ31" s="2" t="n">
        <v>11.88252993975705</v>
      </c>
      <c r="AR31" s="2" t="n">
        <v>60.47782699363164</v>
      </c>
      <c r="AS31" s="2" t="n">
        <v>10.059510319499045</v>
      </c>
      <c r="AT31" s="2" t="n">
        <v>2.232348236223284</v>
      </c>
      <c r="AU31" s="2" t="n">
        <v>296.90462953294275</v>
      </c>
      <c r="AV31" s="2" t="n">
        <v>154.95808202817327</v>
      </c>
      <c r="AW31" s="2" t="n">
        <v>0.00011779885454464406</v>
      </c>
      <c r="AX31" s="2" t="n">
        <v>1476</v>
      </c>
      <c r="AY31" s="2" t="n">
        <v>9.933021374308737e-07</v>
      </c>
      <c r="AZ31" s="2" t="s">
        <v>131</v>
      </c>
      <c r="BA31" s="2" t="n">
        <v>4.48</v>
      </c>
      <c r="BB31" s="2" t="s">
        <v>132</v>
      </c>
      <c r="BC31" s="2" t="n">
        <v>4</v>
      </c>
      <c r="BD31" s="2" t="s">
        <v>133</v>
      </c>
      <c r="BE31" s="2" t="n">
        <v>3000</v>
      </c>
      <c r="BF31" s="2" t="s">
        <v>134</v>
      </c>
      <c r="BG31" s="2" t="n">
        <v>120</v>
      </c>
    </row>
    <row r="32" customFormat="false" ht="15" hidden="false" customHeight="false" outlineLevel="0" collapsed="false">
      <c r="A32" s="2" t="s">
        <v>164</v>
      </c>
      <c r="B32" s="2" t="s">
        <v>128</v>
      </c>
      <c r="C32" s="2" t="s">
        <v>129</v>
      </c>
      <c r="D32" s="2" t="s">
        <v>130</v>
      </c>
      <c r="E32" s="2" t="n">
        <v>1</v>
      </c>
      <c r="F32" s="2" t="n">
        <v>850.1571477206317</v>
      </c>
      <c r="G32" s="2" t="n">
        <v>305.2806660151805</v>
      </c>
      <c r="H32" s="2" t="n">
        <v>306.4101430036952</v>
      </c>
      <c r="I32" s="2" t="n">
        <v>1.9029389276206157</v>
      </c>
      <c r="J32" s="2" t="n">
        <v>0.002573002238258382</v>
      </c>
      <c r="K32" s="2" t="n">
        <v>0.0002144168531881985</v>
      </c>
      <c r="L32" s="2" t="n">
        <v>30.026066320708033</v>
      </c>
      <c r="M32" s="2" t="n">
        <v>0.6171630365983197</v>
      </c>
      <c r="N32" s="2" t="n">
        <v>1.1913618613072217</v>
      </c>
      <c r="O32" s="2" t="n">
        <v>5.198875</v>
      </c>
      <c r="P32" s="2" t="n">
        <v>3.20855348189509</v>
      </c>
      <c r="Q32" s="2" t="n">
        <v>28.056939</v>
      </c>
      <c r="R32" s="2" t="n">
        <v>10.686613492691576</v>
      </c>
      <c r="S32" s="2" t="n">
        <v>65.68188855789492</v>
      </c>
      <c r="T32" s="2" t="n">
        <v>106.42550616757684</v>
      </c>
      <c r="U32" s="2" t="n">
        <v>0.00060489831389191</v>
      </c>
      <c r="V32" s="2" t="n">
        <v>16.87116657831333</v>
      </c>
      <c r="W32" s="2" t="n">
        <v>4.3540169877663185e-05</v>
      </c>
      <c r="X32" s="2" t="n">
        <v>551.6729242559518</v>
      </c>
      <c r="Y32" s="2" t="n">
        <v>296.06957754500706</v>
      </c>
      <c r="Z32" s="2" t="n">
        <v>12.93116792495834</v>
      </c>
      <c r="AA32" s="2" t="n">
        <v>328.95846340445047</v>
      </c>
      <c r="AB32" s="2" t="n">
        <v>23.677797389269983</v>
      </c>
      <c r="AC32" s="2" t="n">
        <v>254.65824734081215</v>
      </c>
      <c r="AD32" s="2" t="n">
        <v>0.5673154521178195</v>
      </c>
      <c r="AE32" s="2" t="n">
        <v>337.20513428859584</v>
      </c>
      <c r="AF32" s="2" t="n">
        <v>346.27333235511264</v>
      </c>
      <c r="AG32" s="2" t="n">
        <v>315.9203478334846</v>
      </c>
      <c r="AH32" s="2" t="n">
        <v>30.35298452162806</v>
      </c>
      <c r="AI32" s="2" t="n">
        <v>7.7117363610936716</v>
      </c>
      <c r="AJ32" s="2" t="n">
        <v>345.54344635168457</v>
      </c>
      <c r="AK32" s="2" t="n">
        <v>345.86051694269986</v>
      </c>
      <c r="AL32" s="2" t="n">
        <v>346.1410029805668</v>
      </c>
      <c r="AM32" s="2" t="n">
        <v>12969409763.693449</v>
      </c>
      <c r="AN32" s="2" t="n">
        <v>12929350662.427984</v>
      </c>
      <c r="AO32" s="2" t="n">
        <v>337.4660226473269</v>
      </c>
      <c r="AP32" s="2" t="n">
        <v>291.28330400714253</v>
      </c>
      <c r="AQ32" s="2" t="n">
        <v>4.914895014672988</v>
      </c>
      <c r="AR32" s="2" t="n">
        <v>27.27979033018147</v>
      </c>
      <c r="AS32" s="2" t="n">
        <v>4.430163650560858</v>
      </c>
      <c r="AT32" s="2" t="n">
        <v>2.2524973942641475</v>
      </c>
      <c r="AU32" s="2" t="n">
        <v>306.65220061730776</v>
      </c>
      <c r="AV32" s="2" t="n">
        <v>293.0846055541829</v>
      </c>
      <c r="AW32" s="2" t="n">
        <v>7.051299179810936e-05</v>
      </c>
      <c r="AX32" s="2" t="n">
        <v>613</v>
      </c>
      <c r="AY32" s="2" t="n">
        <v>9.947850685421145e-07</v>
      </c>
      <c r="AZ32" s="2" t="s">
        <v>131</v>
      </c>
      <c r="BA32" s="2" t="n">
        <v>4.48</v>
      </c>
      <c r="BB32" s="2" t="s">
        <v>132</v>
      </c>
      <c r="BC32" s="2" t="n">
        <v>4</v>
      </c>
      <c r="BD32" s="2" t="s">
        <v>133</v>
      </c>
      <c r="BE32" s="2" t="n">
        <v>3000</v>
      </c>
      <c r="BF32" s="2" t="s">
        <v>134</v>
      </c>
      <c r="BG32" s="2" t="n">
        <v>120</v>
      </c>
    </row>
    <row r="33" customFormat="false" ht="15" hidden="false" customHeight="false" outlineLevel="0" collapsed="false">
      <c r="A33" s="2" t="s">
        <v>165</v>
      </c>
      <c r="B33" s="2" t="s">
        <v>128</v>
      </c>
      <c r="C33" s="2" t="s">
        <v>129</v>
      </c>
      <c r="D33" s="2" t="s">
        <v>130</v>
      </c>
      <c r="E33" s="2" t="n">
        <v>1</v>
      </c>
      <c r="F33" s="2" t="n">
        <v>542.6066359886486</v>
      </c>
      <c r="G33" s="2" t="n">
        <v>322.4070601926028</v>
      </c>
      <c r="H33" s="2" t="n">
        <v>306.85082459930993</v>
      </c>
      <c r="I33" s="2" t="n">
        <v>4.480982479310116</v>
      </c>
      <c r="J33" s="2" t="n">
        <v>0.0013349104657197817</v>
      </c>
      <c r="K33" s="2" t="n">
        <v>0.00011124253880998181</v>
      </c>
      <c r="L33" s="2" t="n">
        <v>23.676514265123775</v>
      </c>
      <c r="M33" s="2" t="n">
        <v>0.6881033543242737</v>
      </c>
      <c r="N33" s="2" t="n">
        <v>1.4122110122696674</v>
      </c>
      <c r="O33" s="2" t="n">
        <v>5.198875</v>
      </c>
      <c r="P33" s="2" t="n">
        <v>3.5773633262126086</v>
      </c>
      <c r="Q33" s="2" t="n">
        <v>28.056939</v>
      </c>
      <c r="R33" s="2" t="n">
        <v>13.284574166740319</v>
      </c>
      <c r="S33" s="2" t="n">
        <v>44.835105731057446</v>
      </c>
      <c r="T33" s="2" t="n">
        <v>65.15751659877618</v>
      </c>
      <c r="U33" s="2" t="n">
        <v>0.00045975004586628444</v>
      </c>
      <c r="V33" s="2" t="n">
        <v>4.975650058009935</v>
      </c>
      <c r="W33" s="2" t="n">
        <v>6.66203343650622e-06</v>
      </c>
      <c r="X33" s="2" t="n">
        <v>352.1012443394859</v>
      </c>
      <c r="Y33" s="2" t="n">
        <v>296.70852170471807</v>
      </c>
      <c r="Z33" s="2" t="n">
        <v>22.72773342137844</v>
      </c>
      <c r="AA33" s="2" t="n">
        <v>344.7567374854263</v>
      </c>
      <c r="AB33" s="2" t="n">
        <v>22.349677292823515</v>
      </c>
      <c r="AC33" s="2" t="n">
        <v>124.70953975685643</v>
      </c>
      <c r="AD33" s="2" t="n">
        <v>0.4352919674769745</v>
      </c>
      <c r="AE33" s="2" t="n">
        <v>358.60254020145607</v>
      </c>
      <c r="AF33" s="2" t="n">
        <v>369.1250119057646</v>
      </c>
      <c r="AG33" s="2" t="n">
        <v>333.6490031725335</v>
      </c>
      <c r="AH33" s="2" t="n">
        <v>35.47600873323108</v>
      </c>
      <c r="AI33" s="2" t="n">
        <v>9.303349263258218</v>
      </c>
      <c r="AJ33" s="2" t="n">
        <v>368.62956236916216</v>
      </c>
      <c r="AK33" s="2" t="n">
        <v>368.8517567299611</v>
      </c>
      <c r="AL33" s="2" t="n">
        <v>369.04646424517733</v>
      </c>
      <c r="AM33" s="2" t="n">
        <v>16602571663.4091</v>
      </c>
      <c r="AN33" s="2" t="n">
        <v>16536875106.767456</v>
      </c>
      <c r="AO33" s="2" t="n">
        <v>358.9581686914118</v>
      </c>
      <c r="AP33" s="2" t="n">
        <v>185.90945701124858</v>
      </c>
      <c r="AQ33" s="2" t="n">
        <v>8.990775280308162</v>
      </c>
      <c r="AR33" s="2" t="n">
        <v>44.76393994957837</v>
      </c>
      <c r="AS33" s="2" t="n">
        <v>7.444995427785877</v>
      </c>
      <c r="AT33" s="2" t="n">
        <v>2.2397119176686355</v>
      </c>
      <c r="AU33" s="2" t="n">
        <v>308.4676355122565</v>
      </c>
      <c r="AV33" s="2" t="n">
        <v>193.96592117017423</v>
      </c>
      <c r="AW33" s="2" t="n">
        <v>0.0001117537388183452</v>
      </c>
      <c r="AX33" s="2" t="n">
        <v>1205</v>
      </c>
      <c r="AY33" s="2" t="n">
        <v>9.939438996298122e-07</v>
      </c>
      <c r="AZ33" s="2" t="s">
        <v>131</v>
      </c>
      <c r="BA33" s="2" t="n">
        <v>4.48</v>
      </c>
      <c r="BB33" s="2" t="s">
        <v>132</v>
      </c>
      <c r="BC33" s="2" t="n">
        <v>4</v>
      </c>
      <c r="BD33" s="2" t="s">
        <v>133</v>
      </c>
      <c r="BE33" s="2" t="n">
        <v>3000</v>
      </c>
      <c r="BF33" s="2" t="s">
        <v>134</v>
      </c>
      <c r="BG33" s="2" t="n">
        <v>120</v>
      </c>
    </row>
    <row r="34" customFormat="false" ht="15" hidden="false" customHeight="false" outlineLevel="0" collapsed="false">
      <c r="A34" s="2" t="s">
        <v>166</v>
      </c>
      <c r="B34" s="2" t="s">
        <v>128</v>
      </c>
      <c r="C34" s="2" t="s">
        <v>129</v>
      </c>
      <c r="D34" s="2" t="s">
        <v>130</v>
      </c>
      <c r="E34" s="2" t="n">
        <v>1</v>
      </c>
      <c r="F34" s="2" t="n">
        <v>412.81067601091894</v>
      </c>
      <c r="G34" s="2" t="n">
        <v>329.7280985667402</v>
      </c>
      <c r="H34" s="2" t="n">
        <v>307.2950056532993</v>
      </c>
      <c r="I34" s="2" t="n">
        <v>1.3739993882014443</v>
      </c>
      <c r="J34" s="2" t="n">
        <v>0.0034573680040505886</v>
      </c>
      <c r="K34" s="2" t="n">
        <v>0.00028811400033754907</v>
      </c>
      <c r="L34" s="2" t="n">
        <v>24.32794892888765</v>
      </c>
      <c r="M34" s="2" t="n">
        <v>0.4488959135365547</v>
      </c>
      <c r="N34" s="2" t="n">
        <v>0.9705208258507926</v>
      </c>
      <c r="O34" s="2" t="n">
        <v>5.198875</v>
      </c>
      <c r="P34" s="2" t="n">
        <v>2.333753742487356</v>
      </c>
      <c r="Q34" s="2" t="n">
        <v>28.056939</v>
      </c>
      <c r="R34" s="2" t="n">
        <v>5.653684791202711</v>
      </c>
      <c r="S34" s="2" t="n">
        <v>115.61836936738243</v>
      </c>
      <c r="T34" s="2" t="n">
        <v>257.5616437594666</v>
      </c>
      <c r="U34" s="2" t="n">
        <v>0.0004617496874039255</v>
      </c>
      <c r="V34" s="2" t="n">
        <v>40.67303217226931</v>
      </c>
      <c r="W34" s="2" t="n">
        <v>0.00014104477438327395</v>
      </c>
      <c r="X34" s="2" t="n">
        <v>267.87573733821733</v>
      </c>
      <c r="Y34" s="2" t="n">
        <v>297.35300418149967</v>
      </c>
      <c r="Z34" s="2" t="n">
        <v>10.921197675165487</v>
      </c>
      <c r="AA34" s="2" t="n">
        <v>336.9510687809073</v>
      </c>
      <c r="AB34" s="2" t="n">
        <v>7.2229702141671055</v>
      </c>
      <c r="AC34" s="2" t="n">
        <v>104.38490835096805</v>
      </c>
      <c r="AD34" s="2" t="n">
        <v>0.4789088595504793</v>
      </c>
      <c r="AE34" s="2" t="n">
        <v>338.5834920052034</v>
      </c>
      <c r="AF34" s="2" t="n">
        <v>340.95092688446675</v>
      </c>
      <c r="AG34" s="2" t="n">
        <v>332.8070175217883</v>
      </c>
      <c r="AH34" s="2" t="n">
        <v>8.143909362678471</v>
      </c>
      <c r="AI34" s="2" t="n">
        <v>1.9884668998955126</v>
      </c>
      <c r="AJ34" s="2" t="n">
        <v>340.72451787998733</v>
      </c>
      <c r="AK34" s="2" t="n">
        <v>340.818841669606</v>
      </c>
      <c r="AL34" s="2" t="n">
        <v>340.9080953391189</v>
      </c>
      <c r="AM34" s="2" t="n">
        <v>13144757481.911879</v>
      </c>
      <c r="AN34" s="2" t="n">
        <v>13142050122.564404</v>
      </c>
      <c r="AO34" s="2" t="n">
        <v>338.6009283329998</v>
      </c>
      <c r="AP34" s="2" t="n">
        <v>141.43838931457876</v>
      </c>
      <c r="AQ34" s="2" t="n">
        <v>4.97916630418508</v>
      </c>
      <c r="AR34" s="2" t="n">
        <v>27.57336255725252</v>
      </c>
      <c r="AS34" s="2" t="n">
        <v>4.501157790073475</v>
      </c>
      <c r="AT34" s="2" t="n">
        <v>2.2429032357231624</v>
      </c>
      <c r="AU34" s="2" t="n">
        <v>307.70176208317906</v>
      </c>
      <c r="AV34" s="2" t="n">
        <v>98.58985190218536</v>
      </c>
      <c r="AW34" s="2" t="n">
        <v>-0.00014694659527041476</v>
      </c>
      <c r="AX34" s="2" t="n">
        <v>371</v>
      </c>
      <c r="AY34" s="2" t="n">
        <v>9.844375767897873e-07</v>
      </c>
      <c r="AZ34" s="2" t="s">
        <v>131</v>
      </c>
      <c r="BA34" s="2" t="n">
        <v>4.48</v>
      </c>
      <c r="BB34" s="2" t="s">
        <v>132</v>
      </c>
      <c r="BC34" s="2" t="n">
        <v>4</v>
      </c>
      <c r="BD34" s="2" t="s">
        <v>133</v>
      </c>
      <c r="BE34" s="2" t="n">
        <v>3000</v>
      </c>
      <c r="BF34" s="2" t="s">
        <v>134</v>
      </c>
      <c r="BG34" s="2" t="n">
        <v>120</v>
      </c>
    </row>
    <row r="35" customFormat="false" ht="15" hidden="false" customHeight="false" outlineLevel="0" collapsed="false">
      <c r="A35" s="2" t="s">
        <v>167</v>
      </c>
      <c r="B35" s="2" t="s">
        <v>128</v>
      </c>
      <c r="C35" s="2" t="s">
        <v>129</v>
      </c>
      <c r="D35" s="2" t="s">
        <v>130</v>
      </c>
      <c r="E35" s="2" t="n">
        <v>1</v>
      </c>
      <c r="F35" s="2" t="n">
        <v>829.0544753828651</v>
      </c>
      <c r="G35" s="2" t="n">
        <v>291.82627592162214</v>
      </c>
      <c r="H35" s="2" t="n">
        <v>298.6826178963398</v>
      </c>
      <c r="I35" s="2" t="n">
        <v>2.823196513764824</v>
      </c>
      <c r="J35" s="2" t="n">
        <v>0.002151273215328523</v>
      </c>
      <c r="K35" s="2" t="n">
        <v>0.00017927276794404358</v>
      </c>
      <c r="L35" s="2" t="n">
        <v>26.562236360125908</v>
      </c>
      <c r="M35" s="2" t="n">
        <v>0.6200758348768931</v>
      </c>
      <c r="N35" s="2" t="n">
        <v>0.7400631040593887</v>
      </c>
      <c r="O35" s="2" t="n">
        <v>5.198875</v>
      </c>
      <c r="P35" s="2" t="n">
        <v>3.223696756045608</v>
      </c>
      <c r="Q35" s="2" t="n">
        <v>28.056939</v>
      </c>
      <c r="R35" s="2" t="n">
        <v>10.787725854152129</v>
      </c>
      <c r="S35" s="2" t="n">
        <v>43.80223575481647</v>
      </c>
      <c r="T35" s="2" t="n">
        <v>70.64012704754533</v>
      </c>
      <c r="U35" s="2" t="n">
        <v>0.0007583804574489078</v>
      </c>
      <c r="V35" s="2" t="n">
        <v>21.21674944487707</v>
      </c>
      <c r="W35" s="2" t="n">
        <v>4.5780365894784705e-05</v>
      </c>
      <c r="X35" s="2" t="n">
        <v>537.9792524572688</v>
      </c>
      <c r="Y35" s="2" t="n">
        <v>284.94038154500583</v>
      </c>
      <c r="Z35" s="2" t="n">
        <v>16.42814675230633</v>
      </c>
      <c r="AA35" s="2" t="n">
        <v>319.15576536328035</v>
      </c>
      <c r="AB35" s="2" t="n">
        <v>27.32948944165821</v>
      </c>
      <c r="AC35" s="2" t="n">
        <v>245.7555702501716</v>
      </c>
      <c r="AD35" s="2" t="n">
        <v>0.5614180606912383</v>
      </c>
      <c r="AE35" s="2" t="n">
        <v>330.74778693217286</v>
      </c>
      <c r="AF35" s="2" t="n">
        <v>342.1435698009784</v>
      </c>
      <c r="AG35" s="2" t="n">
        <v>304.4497156232398</v>
      </c>
      <c r="AH35" s="2" t="n">
        <v>37.693854177738615</v>
      </c>
      <c r="AI35" s="2" t="n">
        <v>9.755596097461423</v>
      </c>
      <c r="AJ35" s="2" t="n">
        <v>341.34535933933176</v>
      </c>
      <c r="AK35" s="2" t="n">
        <v>341.6767818210139</v>
      </c>
      <c r="AL35" s="2" t="n">
        <v>341.99904165769277</v>
      </c>
      <c r="AM35" s="2" t="n">
        <v>12028542785.37659</v>
      </c>
      <c r="AN35" s="2" t="n">
        <v>11967068799.870955</v>
      </c>
      <c r="AO35" s="2" t="n">
        <v>331.17172813897116</v>
      </c>
      <c r="AP35" s="2" t="n">
        <v>284.0530452974379</v>
      </c>
      <c r="AQ35" s="2" t="n">
        <v>4.872921847764877</v>
      </c>
      <c r="AR35" s="2" t="n">
        <v>28.811465605222025</v>
      </c>
      <c r="AS35" s="2" t="n">
        <v>4.612891265252264</v>
      </c>
      <c r="AT35" s="2" t="n">
        <v>2.2620525280678363</v>
      </c>
      <c r="AU35" s="2" t="n">
        <v>298.47940118013724</v>
      </c>
      <c r="AV35" s="2" t="n">
        <v>313.5822937855963</v>
      </c>
      <c r="AW35" s="2" t="n">
        <v>7.002818727611031e-05</v>
      </c>
      <c r="AX35" s="2" t="n">
        <v>758</v>
      </c>
      <c r="AY35" s="2" t="n">
        <v>9.82521157766314e-07</v>
      </c>
      <c r="AZ35" s="2" t="s">
        <v>131</v>
      </c>
      <c r="BA35" s="2" t="n">
        <v>4.48</v>
      </c>
      <c r="BB35" s="2" t="s">
        <v>132</v>
      </c>
      <c r="BC35" s="2" t="n">
        <v>4</v>
      </c>
      <c r="BD35" s="2" t="s">
        <v>133</v>
      </c>
      <c r="BE35" s="2" t="n">
        <v>3000</v>
      </c>
      <c r="BF35" s="2" t="s">
        <v>134</v>
      </c>
      <c r="BG35" s="2" t="n">
        <v>120</v>
      </c>
    </row>
    <row r="36" customFormat="false" ht="15" hidden="false" customHeight="false" outlineLevel="0" collapsed="false">
      <c r="A36" s="2" t="s">
        <v>168</v>
      </c>
      <c r="B36" s="2" t="s">
        <v>128</v>
      </c>
      <c r="C36" s="2" t="s">
        <v>129</v>
      </c>
      <c r="D36" s="2" t="s">
        <v>130</v>
      </c>
      <c r="E36" s="2" t="n">
        <v>1</v>
      </c>
      <c r="F36" s="2" t="n">
        <v>648.1786574243745</v>
      </c>
      <c r="G36" s="2" t="n">
        <v>315.06896520412084</v>
      </c>
      <c r="H36" s="2" t="n">
        <v>283.65089960658884</v>
      </c>
      <c r="I36" s="2" t="n">
        <v>0.48103562906764297</v>
      </c>
      <c r="J36" s="2" t="n">
        <v>0.0028663792839233333</v>
      </c>
      <c r="K36" s="2" t="n">
        <v>0.00023886494032694444</v>
      </c>
      <c r="L36" s="2" t="n">
        <v>22.467043912510267</v>
      </c>
      <c r="M36" s="2" t="n">
        <v>0.8369267388620002</v>
      </c>
      <c r="N36" s="2" t="n">
        <v>1.2616291811870377</v>
      </c>
      <c r="O36" s="2" t="n">
        <v>5.198875</v>
      </c>
      <c r="P36" s="2" t="n">
        <v>4.351077499501182</v>
      </c>
      <c r="Q36" s="2" t="n">
        <v>28.056939</v>
      </c>
      <c r="R36" s="2" t="n">
        <v>19.65238096986744</v>
      </c>
      <c r="S36" s="2" t="n">
        <v>79.69787646205529</v>
      </c>
      <c r="T36" s="2" t="n">
        <v>95.22682543327916</v>
      </c>
      <c r="U36" s="2" t="n">
        <v>0.0005553601941016836</v>
      </c>
      <c r="V36" s="2" t="n">
        <v>9.082411586961902</v>
      </c>
      <c r="W36" s="2" t="n">
        <v>2.611197233794668e-05</v>
      </c>
      <c r="X36" s="2" t="n">
        <v>420.60766805327853</v>
      </c>
      <c r="Y36" s="2" t="n">
        <v>263.70315489907034</v>
      </c>
      <c r="Z36" s="2" t="n">
        <v>7.527935390457044</v>
      </c>
      <c r="AA36" s="2" t="n">
        <v>328.8388782250802</v>
      </c>
      <c r="AB36" s="2" t="n">
        <v>13.769913020959336</v>
      </c>
      <c r="AC36" s="2" t="n">
        <v>164.98373651526273</v>
      </c>
      <c r="AD36" s="2" t="n">
        <v>0.48207264211261125</v>
      </c>
      <c r="AE36" s="2" t="n">
        <v>333.04717493904195</v>
      </c>
      <c r="AF36" s="2" t="n">
        <v>338.12060069539916</v>
      </c>
      <c r="AG36" s="2" t="n">
        <v>320.97129889268206</v>
      </c>
      <c r="AH36" s="2" t="n">
        <v>17.149301802717105</v>
      </c>
      <c r="AI36" s="2" t="n">
        <v>4.270728766592047</v>
      </c>
      <c r="AJ36" s="2" t="n">
        <v>337.6490917011607</v>
      </c>
      <c r="AK36" s="2" t="n">
        <v>337.8529513298484</v>
      </c>
      <c r="AL36" s="2" t="n">
        <v>338.03365685003945</v>
      </c>
      <c r="AM36" s="2" t="n">
        <v>12315377827.904926</v>
      </c>
      <c r="AN36" s="2" t="n">
        <v>12303339736.00209</v>
      </c>
      <c r="AO36" s="2" t="n">
        <v>333.1286118165194</v>
      </c>
      <c r="AP36" s="2" t="n">
        <v>222.08084873213107</v>
      </c>
      <c r="AQ36" s="2" t="n">
        <v>6.841079384286308</v>
      </c>
      <c r="AR36" s="2" t="n">
        <v>43.149687238545646</v>
      </c>
      <c r="AS36" s="2" t="n">
        <v>7.106142080911316</v>
      </c>
      <c r="AT36" s="2" t="n">
        <v>2.1892029182341757</v>
      </c>
      <c r="AU36" s="2" t="n">
        <v>284.7202077527313</v>
      </c>
      <c r="AV36" s="2" t="n">
        <v>178.37623712930215</v>
      </c>
      <c r="AW36" s="2" t="n">
        <v>9.131157359374171e-05</v>
      </c>
      <c r="AX36" s="2" t="n">
        <v>498</v>
      </c>
      <c r="AY36" s="2" t="n">
        <v>9.86018960702495e-07</v>
      </c>
      <c r="AZ36" s="2" t="s">
        <v>131</v>
      </c>
      <c r="BA36" s="2" t="n">
        <v>4.48</v>
      </c>
      <c r="BB36" s="2" t="s">
        <v>132</v>
      </c>
      <c r="BC36" s="2" t="n">
        <v>4</v>
      </c>
      <c r="BD36" s="2" t="s">
        <v>133</v>
      </c>
      <c r="BE36" s="2" t="n">
        <v>3000</v>
      </c>
      <c r="BF36" s="2" t="s">
        <v>134</v>
      </c>
      <c r="BG36" s="2" t="n">
        <v>120</v>
      </c>
    </row>
    <row r="37" customFormat="false" ht="15" hidden="false" customHeight="false" outlineLevel="0" collapsed="false">
      <c r="A37" s="2" t="s">
        <v>169</v>
      </c>
      <c r="B37" s="2" t="s">
        <v>128</v>
      </c>
      <c r="C37" s="2" t="s">
        <v>129</v>
      </c>
      <c r="D37" s="2" t="s">
        <v>130</v>
      </c>
      <c r="E37" s="2" t="n">
        <v>1</v>
      </c>
      <c r="F37" s="2" t="n">
        <v>777.928354023067</v>
      </c>
      <c r="G37" s="2" t="n">
        <v>327.009682742087</v>
      </c>
      <c r="H37" s="2" t="n">
        <v>304.33671808611285</v>
      </c>
      <c r="I37" s="2" t="n">
        <v>3.5831041509768413</v>
      </c>
      <c r="J37" s="2" t="n">
        <v>0.001289013111125129</v>
      </c>
      <c r="K37" s="2" t="n">
        <v>0.00010741775926042742</v>
      </c>
      <c r="L37" s="2" t="n">
        <v>27.720357440741786</v>
      </c>
      <c r="M37" s="2" t="n">
        <v>0.4964095834602711</v>
      </c>
      <c r="N37" s="2" t="n">
        <v>0.7597024038798685</v>
      </c>
      <c r="O37" s="2" t="n">
        <v>5.198875</v>
      </c>
      <c r="P37" s="2" t="n">
        <v>2.580771373212017</v>
      </c>
      <c r="Q37" s="2" t="n">
        <v>28.056939</v>
      </c>
      <c r="R37" s="2" t="n">
        <v>6.913860336712068</v>
      </c>
      <c r="S37" s="2" t="n">
        <v>49.91639980692667</v>
      </c>
      <c r="T37" s="2" t="n">
        <v>100.55486733148777</v>
      </c>
      <c r="U37" s="2" t="n">
        <v>0.00039875112539164296</v>
      </c>
      <c r="V37" s="2" t="n">
        <v>11.642103513658666</v>
      </c>
      <c r="W37" s="2" t="n">
        <v>1.5051980010212591e-05</v>
      </c>
      <c r="X37" s="2" t="n">
        <v>504.8031544240463</v>
      </c>
      <c r="Y37" s="2" t="n">
        <v>293.06948904923297</v>
      </c>
      <c r="Z37" s="2" t="n">
        <v>19.315795773711997</v>
      </c>
      <c r="AA37" s="2" t="n">
        <v>359.760035240335</v>
      </c>
      <c r="AB37" s="2" t="n">
        <v>32.75035249824799</v>
      </c>
      <c r="AC37" s="2" t="n">
        <v>176.46134913440318</v>
      </c>
      <c r="AD37" s="2" t="n">
        <v>0.42961167169827763</v>
      </c>
      <c r="AE37" s="2" t="n">
        <v>380.40168411906086</v>
      </c>
      <c r="AF37" s="2" t="n">
        <v>395.75104524680376</v>
      </c>
      <c r="AG37" s="2" t="n">
        <v>343.8976838680201</v>
      </c>
      <c r="AH37" s="2" t="n">
        <v>51.85336137878363</v>
      </c>
      <c r="AI37" s="2" t="n">
        <v>13.645816927549683</v>
      </c>
      <c r="AJ37" s="2" t="n">
        <v>395.09240582675636</v>
      </c>
      <c r="AK37" s="2" t="n">
        <v>395.4012672226454</v>
      </c>
      <c r="AL37" s="2" t="n">
        <v>395.64630271523583</v>
      </c>
      <c r="AM37" s="2" t="n">
        <v>21098034684.18333</v>
      </c>
      <c r="AN37" s="2" t="n">
        <v>20939664736.218315</v>
      </c>
      <c r="AO37" s="2" t="n">
        <v>381.11891242731707</v>
      </c>
      <c r="AP37" s="2" t="n">
        <v>266.53606553589646</v>
      </c>
      <c r="AQ37" s="2" t="n">
        <v>14.420298352770265</v>
      </c>
      <c r="AR37" s="2" t="n">
        <v>64.71151218062234</v>
      </c>
      <c r="AS37" s="2" t="n">
        <v>10.942696637993224</v>
      </c>
      <c r="AT37" s="2" t="n">
        <v>2.2427677640296615</v>
      </c>
      <c r="AU37" s="2" t="n">
        <v>307.92581405213133</v>
      </c>
      <c r="AV37" s="2" t="n">
        <v>276.4694798933035</v>
      </c>
      <c r="AW37" s="2" t="n">
        <v>7.885206692337801e-05</v>
      </c>
      <c r="AX37" s="2" t="n">
        <v>1287</v>
      </c>
      <c r="AY37" s="2" t="n">
        <v>9.923544439516263e-07</v>
      </c>
      <c r="AZ37" s="2" t="s">
        <v>131</v>
      </c>
      <c r="BA37" s="2" t="n">
        <v>4.48</v>
      </c>
      <c r="BB37" s="2" t="s">
        <v>132</v>
      </c>
      <c r="BC37" s="2" t="n">
        <v>4</v>
      </c>
      <c r="BD37" s="2" t="s">
        <v>133</v>
      </c>
      <c r="BE37" s="2" t="n">
        <v>3000</v>
      </c>
      <c r="BF37" s="2" t="s">
        <v>134</v>
      </c>
      <c r="BG37" s="2" t="n">
        <v>120</v>
      </c>
    </row>
    <row r="38" customFormat="false" ht="15" hidden="false" customHeight="false" outlineLevel="0" collapsed="false">
      <c r="A38" s="2" t="s">
        <v>170</v>
      </c>
      <c r="B38" s="2" t="s">
        <v>128</v>
      </c>
      <c r="C38" s="2" t="s">
        <v>129</v>
      </c>
      <c r="D38" s="2" t="s">
        <v>130</v>
      </c>
      <c r="E38" s="2" t="n">
        <v>1</v>
      </c>
      <c r="F38" s="2" t="n">
        <v>721.7222206335316</v>
      </c>
      <c r="G38" s="2" t="n">
        <v>299.7673309231766</v>
      </c>
      <c r="H38" s="2" t="n">
        <v>295.2715434436647</v>
      </c>
      <c r="I38" s="2" t="n">
        <v>2.7956692328925214</v>
      </c>
      <c r="J38" s="2" t="n">
        <v>0.0034287722670498116</v>
      </c>
      <c r="K38" s="2" t="n">
        <v>0.00028573102225415095</v>
      </c>
      <c r="L38" s="2" t="n">
        <v>32.868052273629424</v>
      </c>
      <c r="M38" s="2" t="n">
        <v>0.7563880390076596</v>
      </c>
      <c r="N38" s="2" t="n">
        <v>0.7762977237580619</v>
      </c>
      <c r="O38" s="2" t="n">
        <v>5.198875</v>
      </c>
      <c r="P38" s="2" t="n">
        <v>3.932366866295947</v>
      </c>
      <c r="Q38" s="2" t="n">
        <v>28.056939</v>
      </c>
      <c r="R38" s="2" t="n">
        <v>16.052016339349656</v>
      </c>
      <c r="S38" s="2" t="n">
        <v>72.59492879703768</v>
      </c>
      <c r="T38" s="2" t="n">
        <v>95.9757757305077</v>
      </c>
      <c r="U38" s="2" t="n">
        <v>0.0007293234856721743</v>
      </c>
      <c r="V38" s="2" t="n">
        <v>19.66680046098694</v>
      </c>
      <c r="W38" s="2" t="n">
        <v>6.763588766523016e-05</v>
      </c>
      <c r="X38" s="2" t="n">
        <v>468.330601024643</v>
      </c>
      <c r="Y38" s="2" t="n">
        <v>280.0731455340344</v>
      </c>
      <c r="Z38" s="2" t="n">
        <v>16.32354308499158</v>
      </c>
      <c r="AA38" s="2" t="n">
        <v>315.04809750969395</v>
      </c>
      <c r="AB38" s="2" t="n">
        <v>15.280766586517359</v>
      </c>
      <c r="AC38" s="2" t="n">
        <v>219.0080431288487</v>
      </c>
      <c r="AD38" s="2" t="n">
        <v>0.5747196755383273</v>
      </c>
      <c r="AE38" s="2" t="n">
        <v>318.3234262188056</v>
      </c>
      <c r="AF38" s="2" t="n">
        <v>323.08637654526217</v>
      </c>
      <c r="AG38" s="2" t="n">
        <v>306.6934499775149</v>
      </c>
      <c r="AH38" s="2" t="n">
        <v>16.39292656774728</v>
      </c>
      <c r="AI38" s="2" t="n">
        <v>4.015790789176863</v>
      </c>
      <c r="AJ38" s="2" t="n">
        <v>322.65987398393224</v>
      </c>
      <c r="AK38" s="2" t="n">
        <v>322.8321226989122</v>
      </c>
      <c r="AL38" s="2" t="n">
        <v>323.004679015543</v>
      </c>
      <c r="AM38" s="2" t="n">
        <v>10277461752.229288</v>
      </c>
      <c r="AN38" s="2" t="n">
        <v>10267729113.762362</v>
      </c>
      <c r="AO38" s="2" t="n">
        <v>318.3988330138551</v>
      </c>
      <c r="AP38" s="2" t="n">
        <v>247.27855734101152</v>
      </c>
      <c r="AQ38" s="2" t="n">
        <v>3.3297829286201748</v>
      </c>
      <c r="AR38" s="2" t="n">
        <v>21.62428968994646</v>
      </c>
      <c r="AS38" s="2" t="n">
        <v>3.31624101473581</v>
      </c>
      <c r="AT38" s="2" t="n">
        <v>2.3227014068924117</v>
      </c>
      <c r="AU38" s="2" t="n">
        <v>294.1045638086098</v>
      </c>
      <c r="AV38" s="2" t="n">
        <v>200.71486337779098</v>
      </c>
      <c r="AW38" s="2" t="n">
        <v>8.10268975927163e-05</v>
      </c>
      <c r="AX38" s="2" t="n">
        <v>389</v>
      </c>
      <c r="AY38" s="2" t="n">
        <v>9.748470688464295e-07</v>
      </c>
      <c r="AZ38" s="2" t="s">
        <v>131</v>
      </c>
      <c r="BA38" s="2" t="n">
        <v>4.48</v>
      </c>
      <c r="BB38" s="2" t="s">
        <v>132</v>
      </c>
      <c r="BC38" s="2" t="n">
        <v>4</v>
      </c>
      <c r="BD38" s="2" t="s">
        <v>133</v>
      </c>
      <c r="BE38" s="2" t="n">
        <v>3000</v>
      </c>
      <c r="BF38" s="2" t="s">
        <v>134</v>
      </c>
      <c r="BG38" s="2" t="n">
        <v>120</v>
      </c>
    </row>
    <row r="39" customFormat="false" ht="15" hidden="false" customHeight="false" outlineLevel="0" collapsed="false">
      <c r="A39" s="2" t="s">
        <v>171</v>
      </c>
      <c r="B39" s="2" t="s">
        <v>128</v>
      </c>
      <c r="C39" s="2" t="s">
        <v>129</v>
      </c>
      <c r="D39" s="2" t="s">
        <v>130</v>
      </c>
      <c r="E39" s="2" t="n">
        <v>1</v>
      </c>
      <c r="F39" s="2" t="n">
        <v>897.5503011312926</v>
      </c>
      <c r="G39" s="2" t="n">
        <v>307.73504501989765</v>
      </c>
      <c r="H39" s="2" t="n">
        <v>297.14675672344185</v>
      </c>
      <c r="I39" s="2" t="n">
        <v>1.0470198756190778</v>
      </c>
      <c r="J39" s="2" t="n">
        <v>0.001815191805281359</v>
      </c>
      <c r="K39" s="2" t="n">
        <v>0.00015126598377344659</v>
      </c>
      <c r="L39" s="2" t="n">
        <v>23.04639837726351</v>
      </c>
      <c r="M39" s="2" t="n">
        <v>0.7831511504405185</v>
      </c>
      <c r="N39" s="2" t="n">
        <v>1.12796701009407</v>
      </c>
      <c r="O39" s="2" t="n">
        <v>5.198875</v>
      </c>
      <c r="P39" s="2" t="n">
        <v>4.07150493724645</v>
      </c>
      <c r="Q39" s="2" t="n">
        <v>28.056939</v>
      </c>
      <c r="R39" s="2" t="n">
        <v>17.208042437640287</v>
      </c>
      <c r="S39" s="2" t="n">
        <v>51.88519978048383</v>
      </c>
      <c r="T39" s="2" t="n">
        <v>66.25183369940613</v>
      </c>
      <c r="U39" s="2" t="n">
        <v>0.0005402152880205777</v>
      </c>
      <c r="V39" s="2" t="n">
        <v>6.52628621747581</v>
      </c>
      <c r="W39" s="2" t="n">
        <v>1.1882107583633668e-05</v>
      </c>
      <c r="X39" s="2" t="n">
        <v>582.4266732562037</v>
      </c>
      <c r="Y39" s="2" t="n">
        <v>282.74541383738153</v>
      </c>
      <c r="Z39" s="2" t="n">
        <v>9.678675527352496</v>
      </c>
      <c r="AA39" s="2" t="n">
        <v>339.34424329891755</v>
      </c>
      <c r="AB39" s="2" t="n">
        <v>31.609198279019893</v>
      </c>
      <c r="AC39" s="2" t="n">
        <v>239.83484713412847</v>
      </c>
      <c r="AD39" s="2" t="n">
        <v>0.5060804552727947</v>
      </c>
      <c r="AE39" s="2" t="n">
        <v>355.64399835647777</v>
      </c>
      <c r="AF39" s="2" t="n">
        <v>369.94222935432975</v>
      </c>
      <c r="AG39" s="2" t="n">
        <v>322.36255805436934</v>
      </c>
      <c r="AH39" s="2" t="n">
        <v>47.57967129996041</v>
      </c>
      <c r="AI39" s="2" t="n">
        <v>12.368236725999866</v>
      </c>
      <c r="AJ39" s="2" t="n">
        <v>369.03426323502924</v>
      </c>
      <c r="AK39" s="2" t="n">
        <v>369.4050579236195</v>
      </c>
      <c r="AL39" s="2" t="n">
        <v>369.7828318189191</v>
      </c>
      <c r="AM39" s="2" t="n">
        <v>16111737857.38674</v>
      </c>
      <c r="AN39" s="2" t="n">
        <v>15997861653.345276</v>
      </c>
      <c r="AO39" s="2" t="n">
        <v>356.2752034802886</v>
      </c>
      <c r="AP39" s="2" t="n">
        <v>307.52128347927555</v>
      </c>
      <c r="AQ39" s="2" t="n">
        <v>9.547087253842065</v>
      </c>
      <c r="AR39" s="2" t="n">
        <v>49.72373418893183</v>
      </c>
      <c r="AS39" s="2" t="n">
        <v>8.415405971159297</v>
      </c>
      <c r="AT39" s="2" t="n">
        <v>2.191453898521064</v>
      </c>
      <c r="AU39" s="2" t="n">
        <v>299.9542025708262</v>
      </c>
      <c r="AV39" s="2" t="n">
        <v>339.1963786816031</v>
      </c>
      <c r="AW39" s="2" t="n">
        <v>6.740495525702278e-05</v>
      </c>
      <c r="AX39" s="2" t="n">
        <v>952</v>
      </c>
      <c r="AY39" s="2" t="n">
        <v>9.997876304623787e-07</v>
      </c>
      <c r="AZ39" s="2" t="s">
        <v>131</v>
      </c>
      <c r="BA39" s="2" t="n">
        <v>4.48</v>
      </c>
      <c r="BB39" s="2" t="s">
        <v>132</v>
      </c>
      <c r="BC39" s="2" t="n">
        <v>4</v>
      </c>
      <c r="BD39" s="2" t="s">
        <v>133</v>
      </c>
      <c r="BE39" s="2" t="n">
        <v>3000</v>
      </c>
      <c r="BF39" s="2" t="s">
        <v>134</v>
      </c>
      <c r="BG39" s="2" t="n">
        <v>120</v>
      </c>
    </row>
    <row r="40" customFormat="false" ht="15" hidden="false" customHeight="false" outlineLevel="0" collapsed="false">
      <c r="A40" s="2" t="s">
        <v>172</v>
      </c>
      <c r="B40" s="2" t="s">
        <v>128</v>
      </c>
      <c r="C40" s="2" t="s">
        <v>129</v>
      </c>
      <c r="D40" s="2" t="s">
        <v>130</v>
      </c>
      <c r="E40" s="2" t="n">
        <v>1</v>
      </c>
      <c r="F40" s="2" t="n">
        <v>509.2857061209411</v>
      </c>
      <c r="G40" s="2" t="n">
        <v>326.3963026081709</v>
      </c>
      <c r="H40" s="2" t="n">
        <v>306.3473805418597</v>
      </c>
      <c r="I40" s="2" t="n">
        <v>0.3606541378373432</v>
      </c>
      <c r="J40" s="2" t="n">
        <v>0.0027766647716522073</v>
      </c>
      <c r="K40" s="2" t="n">
        <v>0.00023138873097101726</v>
      </c>
      <c r="L40" s="2" t="n">
        <v>31.59571397665398</v>
      </c>
      <c r="M40" s="2" t="n">
        <v>0.4337701938054675</v>
      </c>
      <c r="N40" s="2" t="n">
        <v>0.8227371734645809</v>
      </c>
      <c r="O40" s="2" t="n">
        <v>5.198875</v>
      </c>
      <c r="P40" s="2" t="n">
        <v>2.2551170163203995</v>
      </c>
      <c r="Q40" s="2" t="n">
        <v>28.056939</v>
      </c>
      <c r="R40" s="2" t="n">
        <v>5.279097716520414</v>
      </c>
      <c r="S40" s="2" t="n">
        <v>91.15880334125724</v>
      </c>
      <c r="T40" s="2" t="n">
        <v>210.15460408084</v>
      </c>
      <c r="U40" s="2" t="n">
        <v>0.0004703408247310895</v>
      </c>
      <c r="V40" s="2" t="n">
        <v>40.09562247306186</v>
      </c>
      <c r="W40" s="2" t="n">
        <v>0.00011166710372960623</v>
      </c>
      <c r="X40" s="2" t="n">
        <v>330.4790597018215</v>
      </c>
      <c r="Y40" s="2" t="n">
        <v>295.9786156215591</v>
      </c>
      <c r="Z40" s="2" t="n">
        <v>7.070485723781904</v>
      </c>
      <c r="AA40" s="2" t="n">
        <v>337.8753056546005</v>
      </c>
      <c r="AB40" s="2" t="n">
        <v>11.479003046429568</v>
      </c>
      <c r="AC40" s="2" t="n">
        <v>133.2305752979251</v>
      </c>
      <c r="AD40" s="2" t="n">
        <v>0.49545988038004657</v>
      </c>
      <c r="AE40" s="2" t="n">
        <v>341.55084666672616</v>
      </c>
      <c r="AF40" s="2" t="n">
        <v>345.76673563238717</v>
      </c>
      <c r="AG40" s="2" t="n">
        <v>331.4672919655809</v>
      </c>
      <c r="AH40" s="2" t="n">
        <v>14.299443666806269</v>
      </c>
      <c r="AI40" s="2" t="n">
        <v>3.593473693374406</v>
      </c>
      <c r="AJ40" s="2" t="n">
        <v>345.4284099500742</v>
      </c>
      <c r="AK40" s="2" t="n">
        <v>345.57466041661854</v>
      </c>
      <c r="AL40" s="2" t="n">
        <v>345.70294103854405</v>
      </c>
      <c r="AM40" s="2" t="n">
        <v>13617822611.418188</v>
      </c>
      <c r="AN40" s="2" t="n">
        <v>13608851183.08051</v>
      </c>
      <c r="AO40" s="2" t="n">
        <v>341.6071233076515</v>
      </c>
      <c r="AP40" s="2" t="n">
        <v>174.49294352256175</v>
      </c>
      <c r="AQ40" s="2" t="n">
        <v>5.60057678562868</v>
      </c>
      <c r="AR40" s="2" t="n">
        <v>30.59722223369952</v>
      </c>
      <c r="AS40" s="2" t="n">
        <v>5.0643662976648605</v>
      </c>
      <c r="AT40" s="2" t="n">
        <v>2.2199071077455996</v>
      </c>
      <c r="AU40" s="2" t="n">
        <v>307.2824417370293</v>
      </c>
      <c r="AV40" s="2" t="n">
        <v>146.804400863907</v>
      </c>
      <c r="AW40" s="2" t="n">
        <v>0.00011701816617325202</v>
      </c>
      <c r="AX40" s="2" t="n">
        <v>497</v>
      </c>
      <c r="AY40" s="2" t="n">
        <v>9.76431351773499e-07</v>
      </c>
      <c r="AZ40" s="2" t="s">
        <v>131</v>
      </c>
      <c r="BA40" s="2" t="n">
        <v>4.48</v>
      </c>
      <c r="BB40" s="2" t="s">
        <v>132</v>
      </c>
      <c r="BC40" s="2" t="n">
        <v>4</v>
      </c>
      <c r="BD40" s="2" t="s">
        <v>133</v>
      </c>
      <c r="BE40" s="2" t="n">
        <v>3000</v>
      </c>
      <c r="BF40" s="2" t="s">
        <v>134</v>
      </c>
      <c r="BG40" s="2" t="n">
        <v>120</v>
      </c>
    </row>
    <row r="41" customFormat="false" ht="15" hidden="false" customHeight="false" outlineLevel="0" collapsed="false">
      <c r="A41" s="2" t="s">
        <v>173</v>
      </c>
      <c r="B41" s="2" t="s">
        <v>128</v>
      </c>
      <c r="C41" s="2" t="s">
        <v>129</v>
      </c>
      <c r="D41" s="2" t="s">
        <v>130</v>
      </c>
      <c r="E41" s="2" t="n">
        <v>1</v>
      </c>
      <c r="F41" s="2" t="n">
        <v>911.2767113616077</v>
      </c>
      <c r="G41" s="2" t="n">
        <v>304.4841084243859</v>
      </c>
      <c r="H41" s="2" t="n">
        <v>290.4213121530768</v>
      </c>
      <c r="I41" s="2" t="n">
        <v>3.9748200956011197</v>
      </c>
      <c r="J41" s="2" t="n">
        <v>0.00254499635520968</v>
      </c>
      <c r="K41" s="2" t="n">
        <v>0.00021208302960080668</v>
      </c>
      <c r="L41" s="2" t="n">
        <v>33.702028953511395</v>
      </c>
      <c r="M41" s="2" t="n">
        <v>0.7163572621824095</v>
      </c>
      <c r="N41" s="2" t="n">
        <v>0.897854825543216</v>
      </c>
      <c r="O41" s="2" t="n">
        <v>5.198875</v>
      </c>
      <c r="P41" s="2" t="n">
        <v>3.7242518614285745</v>
      </c>
      <c r="Q41" s="2" t="n">
        <v>28.056939</v>
      </c>
      <c r="R41" s="2" t="n">
        <v>14.397915615493655</v>
      </c>
      <c r="S41" s="2" t="n">
        <v>64.3276205307961</v>
      </c>
      <c r="T41" s="2" t="n">
        <v>89.79823884917367</v>
      </c>
      <c r="U41" s="2" t="n">
        <v>0.0006109104007238925</v>
      </c>
      <c r="V41" s="2" t="n">
        <v>13.350500155991643</v>
      </c>
      <c r="W41" s="2" t="n">
        <v>3.4079211872843526e-05</v>
      </c>
      <c r="X41" s="2" t="n">
        <v>591.3338369395267</v>
      </c>
      <c r="Y41" s="2" t="n">
        <v>273.2006967773528</v>
      </c>
      <c r="Z41" s="2" t="n">
        <v>20.804316363284254</v>
      </c>
      <c r="AA41" s="2" t="n">
        <v>328.66865841776445</v>
      </c>
      <c r="AB41" s="2" t="n">
        <v>24.18454999337854</v>
      </c>
      <c r="AC41" s="2" t="n">
        <v>257.27729282753495</v>
      </c>
      <c r="AD41" s="2" t="n">
        <v>0.5347087157797393</v>
      </c>
      <c r="AE41" s="2" t="n">
        <v>337.22992900789507</v>
      </c>
      <c r="AF41" s="2" t="n">
        <v>346.4715832396831</v>
      </c>
      <c r="AG41" s="2" t="n">
        <v>315.55836340771685</v>
      </c>
      <c r="AH41" s="2" t="n">
        <v>30.913219831966273</v>
      </c>
      <c r="AI41" s="2" t="n">
        <v>7.8914852338611245</v>
      </c>
      <c r="AJ41" s="2" t="n">
        <v>345.7903766491271</v>
      </c>
      <c r="AK41" s="2" t="n">
        <v>346.0753178347338</v>
      </c>
      <c r="AL41" s="2" t="n">
        <v>346.34969839447615</v>
      </c>
      <c r="AM41" s="2" t="n">
        <v>12975098719.296518</v>
      </c>
      <c r="AN41" s="2" t="n">
        <v>12933153866.447067</v>
      </c>
      <c r="AO41" s="2" t="n">
        <v>337.50302343495815</v>
      </c>
      <c r="AP41" s="2" t="n">
        <v>312.2242659040701</v>
      </c>
      <c r="AQ41" s="2" t="n">
        <v>6.915741285927708</v>
      </c>
      <c r="AR41" s="2" t="n">
        <v>41.29714941070409</v>
      </c>
      <c r="AS41" s="2" t="n">
        <v>6.7338818512646785</v>
      </c>
      <c r="AT41" s="2" t="n">
        <v>2.223228197708756</v>
      </c>
      <c r="AU41" s="2" t="n">
        <v>290.9777748862205</v>
      </c>
      <c r="AV41" s="2" t="n">
        <v>298.172526652239</v>
      </c>
      <c r="AW41" s="2" t="n">
        <v>6.473093537521794e-05</v>
      </c>
      <c r="AX41" s="2" t="n">
        <v>622</v>
      </c>
      <c r="AY41" s="2" t="n">
        <v>9.782528991308936e-07</v>
      </c>
      <c r="AZ41" s="2" t="s">
        <v>131</v>
      </c>
      <c r="BA41" s="2" t="n">
        <v>4.48</v>
      </c>
      <c r="BB41" s="2" t="s">
        <v>132</v>
      </c>
      <c r="BC41" s="2" t="n">
        <v>4</v>
      </c>
      <c r="BD41" s="2" t="s">
        <v>133</v>
      </c>
      <c r="BE41" s="2" t="n">
        <v>3000</v>
      </c>
      <c r="BF41" s="2" t="s">
        <v>134</v>
      </c>
      <c r="BG41" s="2" t="n">
        <v>120</v>
      </c>
    </row>
    <row r="42" customFormat="false" ht="15" hidden="false" customHeight="false" outlineLevel="0" collapsed="false">
      <c r="A42" s="2" t="s">
        <v>174</v>
      </c>
      <c r="B42" s="2" t="s">
        <v>128</v>
      </c>
      <c r="C42" s="2" t="s">
        <v>129</v>
      </c>
      <c r="D42" s="2" t="s">
        <v>130</v>
      </c>
      <c r="E42" s="2" t="n">
        <v>1</v>
      </c>
      <c r="F42" s="2" t="n">
        <v>978.1818278723043</v>
      </c>
      <c r="G42" s="2" t="n">
        <v>307.36132531735495</v>
      </c>
      <c r="H42" s="2" t="n">
        <v>291.6226272516569</v>
      </c>
      <c r="I42" s="2" t="n">
        <v>3.7136140900761077</v>
      </c>
      <c r="J42" s="2" t="n">
        <v>0.0029165425852604376</v>
      </c>
      <c r="K42" s="2" t="n">
        <v>0.0002430452154383698</v>
      </c>
      <c r="L42" s="2" t="n">
        <v>36.99179327542463</v>
      </c>
      <c r="M42" s="2" t="n">
        <v>0.3578468699139378</v>
      </c>
      <c r="N42" s="2" t="n">
        <v>1.769066633281616</v>
      </c>
      <c r="O42" s="2" t="n">
        <v>5.198875</v>
      </c>
      <c r="P42" s="2" t="n">
        <v>1.8604011458238239</v>
      </c>
      <c r="Q42" s="2" t="n">
        <v>28.056939</v>
      </c>
      <c r="R42" s="2" t="n">
        <v>3.592813993075868</v>
      </c>
      <c r="S42" s="2" t="n">
        <v>76.87772728418616</v>
      </c>
      <c r="T42" s="2" t="n">
        <v>214.83414764163024</v>
      </c>
      <c r="U42" s="2" t="n">
        <v>0.0005858084443622264</v>
      </c>
      <c r="V42" s="2" t="n">
        <v>50.58155154872817</v>
      </c>
      <c r="W42" s="2" t="n">
        <v>0.00014796715057212813</v>
      </c>
      <c r="X42" s="2" t="n">
        <v>634.7490353791333</v>
      </c>
      <c r="Y42" s="2" t="n">
        <v>274.8975726830812</v>
      </c>
      <c r="Z42" s="2" t="n">
        <v>19.811733542289208</v>
      </c>
      <c r="AA42" s="2" t="n">
        <v>330.44703437303036</v>
      </c>
      <c r="AB42" s="2" t="n">
        <v>23.08570905567541</v>
      </c>
      <c r="AC42" s="2" t="n">
        <v>281.4412959301652</v>
      </c>
      <c r="AD42" s="2" t="n">
        <v>0.5449219585308825</v>
      </c>
      <c r="AE42" s="2" t="n">
        <v>337.3431058441706</v>
      </c>
      <c r="AF42" s="2" t="n">
        <v>345.53926947397423</v>
      </c>
      <c r="AG42" s="2" t="n">
        <v>318.01080719454694</v>
      </c>
      <c r="AH42" s="2" t="n">
        <v>27.528462279427288</v>
      </c>
      <c r="AI42" s="2" t="n">
        <v>6.977402366619162</v>
      </c>
      <c r="AJ42" s="2" t="n">
        <v>344.8971713615136</v>
      </c>
      <c r="AK42" s="2" t="n">
        <v>345.1650160215755</v>
      </c>
      <c r="AL42" s="2" t="n">
        <v>345.41774432301133</v>
      </c>
      <c r="AM42" s="2" t="n">
        <v>12983389187.61673</v>
      </c>
      <c r="AN42" s="2" t="n">
        <v>12950524453.528267</v>
      </c>
      <c r="AO42" s="2" t="n">
        <v>337.55692259980265</v>
      </c>
      <c r="AP42" s="2" t="n">
        <v>335.1474906801824</v>
      </c>
      <c r="AQ42" s="2" t="n">
        <v>6.786031611006344</v>
      </c>
      <c r="AR42" s="2" t="n">
        <v>40.34261532869253</v>
      </c>
      <c r="AS42" s="2" t="n">
        <v>6.5773424149697295</v>
      </c>
      <c r="AT42" s="2" t="n">
        <v>2.224742195771627</v>
      </c>
      <c r="AU42" s="2" t="n">
        <v>292.16001479599106</v>
      </c>
      <c r="AV42" s="2" t="n">
        <v>299.9005038619092</v>
      </c>
      <c r="AW42" s="2" t="n">
        <v>6.129633535418675e-05</v>
      </c>
      <c r="AX42" s="2" t="n">
        <v>528</v>
      </c>
      <c r="AY42" s="2" t="n">
        <v>9.844614510257088e-07</v>
      </c>
      <c r="AZ42" s="2" t="s">
        <v>131</v>
      </c>
      <c r="BA42" s="2" t="n">
        <v>4.48</v>
      </c>
      <c r="BB42" s="2" t="s">
        <v>132</v>
      </c>
      <c r="BC42" s="2" t="n">
        <v>4</v>
      </c>
      <c r="BD42" s="2" t="s">
        <v>133</v>
      </c>
      <c r="BE42" s="2" t="n">
        <v>3000</v>
      </c>
      <c r="BF42" s="2" t="s">
        <v>134</v>
      </c>
      <c r="BG42" s="2" t="n">
        <v>120</v>
      </c>
    </row>
    <row r="43" customFormat="false" ht="15" hidden="false" customHeight="false" outlineLevel="0" collapsed="false">
      <c r="A43" s="2" t="s">
        <v>175</v>
      </c>
      <c r="B43" s="2" t="s">
        <v>128</v>
      </c>
      <c r="C43" s="2" t="s">
        <v>129</v>
      </c>
      <c r="D43" s="2" t="s">
        <v>130</v>
      </c>
      <c r="E43" s="2" t="n">
        <v>1</v>
      </c>
      <c r="F43" s="2" t="n">
        <v>923.1339815959126</v>
      </c>
      <c r="G43" s="2" t="n">
        <v>310.84368599832607</v>
      </c>
      <c r="H43" s="2" t="n">
        <v>308.9976325984736</v>
      </c>
      <c r="I43" s="2" t="n">
        <v>3.142215523225316</v>
      </c>
      <c r="J43" s="2" t="n">
        <v>0.0030071379514563608</v>
      </c>
      <c r="K43" s="2" t="n">
        <v>0.00025059482928803004</v>
      </c>
      <c r="L43" s="2" t="n">
        <v>23.942064644954225</v>
      </c>
      <c r="M43" s="2" t="n">
        <v>0.7007078303881513</v>
      </c>
      <c r="N43" s="2" t="n">
        <v>0.5915372220969815</v>
      </c>
      <c r="O43" s="2" t="n">
        <v>5.198875</v>
      </c>
      <c r="P43" s="2" t="n">
        <v>3.6428924217092007</v>
      </c>
      <c r="Q43" s="2" t="n">
        <v>28.056939</v>
      </c>
      <c r="R43" s="2" t="n">
        <v>13.775717542827623</v>
      </c>
      <c r="S43" s="2" t="n">
        <v>83.65946700141615</v>
      </c>
      <c r="T43" s="2" t="n">
        <v>119.39279593189887</v>
      </c>
      <c r="U43" s="2" t="n">
        <v>0.0005550423226638304</v>
      </c>
      <c r="V43" s="2" t="n">
        <v>17.121046686263547</v>
      </c>
      <c r="W43" s="2" t="n">
        <v>5.1640270069126656e-05</v>
      </c>
      <c r="X43" s="2" t="n">
        <v>599.0281025954587</v>
      </c>
      <c r="Y43" s="2" t="n">
        <v>299.82773628898383</v>
      </c>
      <c r="Z43" s="2" t="n">
        <v>17.6404189882562</v>
      </c>
      <c r="AA43" s="2" t="n">
        <v>333.12416938523944</v>
      </c>
      <c r="AB43" s="2" t="n">
        <v>22.280483386913374</v>
      </c>
      <c r="AC43" s="2" t="n">
        <v>280.06203636884504</v>
      </c>
      <c r="AD43" s="2" t="n">
        <v>0.574586716555329</v>
      </c>
      <c r="AE43" s="2" t="n">
        <v>339.4839988076081</v>
      </c>
      <c r="AF43" s="2" t="n">
        <v>347.4187758972019</v>
      </c>
      <c r="AG43" s="2" t="n">
        <v>320.50975976105303</v>
      </c>
      <c r="AH43" s="2" t="n">
        <v>26.909016136148864</v>
      </c>
      <c r="AI43" s="2" t="n">
        <v>6.6813498383318715</v>
      </c>
      <c r="AJ43" s="2" t="n">
        <v>346.69286213138037</v>
      </c>
      <c r="AK43" s="2" t="n">
        <v>346.9997810532872</v>
      </c>
      <c r="AL43" s="2" t="n">
        <v>347.2872471106139</v>
      </c>
      <c r="AM43" s="2" t="n">
        <v>13312951868.14065</v>
      </c>
      <c r="AN43" s="2" t="n">
        <v>13282420845.77381</v>
      </c>
      <c r="AO43" s="2" t="n">
        <v>339.6789156724265</v>
      </c>
      <c r="AP43" s="2" t="n">
        <v>316.2868381704022</v>
      </c>
      <c r="AQ43" s="2" t="n">
        <v>4.946583827457971</v>
      </c>
      <c r="AR43" s="2" t="n">
        <v>26.892241758076683</v>
      </c>
      <c r="AS43" s="2" t="n">
        <v>4.385764885201212</v>
      </c>
      <c r="AT43" s="2" t="n">
        <v>2.250434791046341</v>
      </c>
      <c r="AU43" s="2" t="n">
        <v>309.3651134070216</v>
      </c>
      <c r="AV43" s="2" t="n">
        <v>293.1194870192068</v>
      </c>
      <c r="AW43" s="2" t="n">
        <v>6.566723727318236e-05</v>
      </c>
      <c r="AX43" s="2" t="n">
        <v>508</v>
      </c>
      <c r="AY43" s="2" t="n">
        <v>9.97688061943336e-07</v>
      </c>
      <c r="AZ43" s="2" t="s">
        <v>131</v>
      </c>
      <c r="BA43" s="2" t="n">
        <v>4.48</v>
      </c>
      <c r="BB43" s="2" t="s">
        <v>132</v>
      </c>
      <c r="BC43" s="2" t="n">
        <v>4</v>
      </c>
      <c r="BD43" s="2" t="s">
        <v>133</v>
      </c>
      <c r="BE43" s="2" t="n">
        <v>3000</v>
      </c>
      <c r="BF43" s="2" t="s">
        <v>134</v>
      </c>
      <c r="BG43" s="2" t="n">
        <v>120</v>
      </c>
    </row>
    <row r="44" customFormat="false" ht="15" hidden="false" customHeight="false" outlineLevel="0" collapsed="false">
      <c r="A44" s="2" t="s">
        <v>176</v>
      </c>
      <c r="B44" s="2" t="s">
        <v>128</v>
      </c>
      <c r="C44" s="2" t="s">
        <v>129</v>
      </c>
      <c r="D44" s="2" t="s">
        <v>130</v>
      </c>
      <c r="E44" s="2" t="n">
        <v>1</v>
      </c>
      <c r="F44" s="2" t="n">
        <v>945.0807838995427</v>
      </c>
      <c r="G44" s="2" t="n">
        <v>316.9883043035671</v>
      </c>
      <c r="H44" s="2" t="n">
        <v>290.75384461665925</v>
      </c>
      <c r="I44" s="2" t="n">
        <v>2.2984434467965404</v>
      </c>
      <c r="J44" s="2" t="n">
        <v>0.0032735088278597196</v>
      </c>
      <c r="K44" s="2" t="n">
        <v>0.0002727924023216433</v>
      </c>
      <c r="L44" s="2" t="n">
        <v>25.20515222680213</v>
      </c>
      <c r="M44" s="2" t="n">
        <v>0.5355046623692137</v>
      </c>
      <c r="N44" s="2" t="n">
        <v>1.468434836621316</v>
      </c>
      <c r="O44" s="2" t="n">
        <v>5.198875</v>
      </c>
      <c r="P44" s="2" t="n">
        <v>2.784021801574746</v>
      </c>
      <c r="Q44" s="2" t="n">
        <v>28.056939</v>
      </c>
      <c r="R44" s="2" t="n">
        <v>8.045754941931678</v>
      </c>
      <c r="S44" s="2" t="n">
        <v>98.52428173220422</v>
      </c>
      <c r="T44" s="2" t="n">
        <v>183.98398493172186</v>
      </c>
      <c r="U44" s="2" t="n">
        <v>0.000513048096411054</v>
      </c>
      <c r="V44" s="2" t="n">
        <v>22.46767109735838</v>
      </c>
      <c r="W44" s="2" t="n">
        <v>7.376942796253896e-05</v>
      </c>
      <c r="X44" s="2" t="n">
        <v>613.2695362379004</v>
      </c>
      <c r="Y44" s="2" t="n">
        <v>273.6700533496607</v>
      </c>
      <c r="Z44" s="2" t="n">
        <v>14.434085097826852</v>
      </c>
      <c r="AA44" s="2" t="n">
        <v>336.354498732837</v>
      </c>
      <c r="AB44" s="2" t="n">
        <v>19.36619442926991</v>
      </c>
      <c r="AC44" s="2" t="n">
        <v>264.9928072217784</v>
      </c>
      <c r="AD44" s="2" t="n">
        <v>0.5310448855356908</v>
      </c>
      <c r="AE44" s="2" t="n">
        <v>341.16030870555505</v>
      </c>
      <c r="AF44" s="2" t="n">
        <v>347.7215680742302</v>
      </c>
      <c r="AG44" s="2" t="n">
        <v>325.36410259761396</v>
      </c>
      <c r="AH44" s="2" t="n">
        <v>22.357465476616255</v>
      </c>
      <c r="AI44" s="2" t="n">
        <v>5.511011813955449</v>
      </c>
      <c r="AJ44" s="2" t="n">
        <v>347.1050072998008</v>
      </c>
      <c r="AK44" s="2" t="n">
        <v>347.3650598371431</v>
      </c>
      <c r="AL44" s="2" t="n">
        <v>347.60123890566456</v>
      </c>
      <c r="AM44" s="2" t="n">
        <v>13567730667.740868</v>
      </c>
      <c r="AN44" s="2" t="n">
        <v>13546715024.759192</v>
      </c>
      <c r="AO44" s="2" t="n">
        <v>341.2925462257885</v>
      </c>
      <c r="AP44" s="2" t="n">
        <v>323.8063151336114</v>
      </c>
      <c r="AQ44" s="2" t="n">
        <v>7.520606291826606</v>
      </c>
      <c r="AR44" s="2" t="n">
        <v>44.041228918882275</v>
      </c>
      <c r="AS44" s="2" t="n">
        <v>7.251467710900765</v>
      </c>
      <c r="AT44" s="2" t="n">
        <v>2.2098201400031363</v>
      </c>
      <c r="AU44" s="2" t="n">
        <v>291.8348289392419</v>
      </c>
      <c r="AV44" s="2" t="n">
        <v>260.7001392483554</v>
      </c>
      <c r="AW44" s="2" t="n">
        <v>6.384049425751428e-05</v>
      </c>
      <c r="AX44" s="2" t="n">
        <v>450</v>
      </c>
      <c r="AY44" s="2" t="n">
        <v>9.83567872481217e-07</v>
      </c>
      <c r="AZ44" s="2" t="s">
        <v>131</v>
      </c>
      <c r="BA44" s="2" t="n">
        <v>4.48</v>
      </c>
      <c r="BB44" s="2" t="s">
        <v>132</v>
      </c>
      <c r="BC44" s="2" t="n">
        <v>4</v>
      </c>
      <c r="BD44" s="2" t="s">
        <v>133</v>
      </c>
      <c r="BE44" s="2" t="n">
        <v>3000</v>
      </c>
      <c r="BF44" s="2" t="s">
        <v>134</v>
      </c>
      <c r="BG44" s="2" t="n">
        <v>120</v>
      </c>
    </row>
    <row r="45" customFormat="false" ht="15" hidden="false" customHeight="false" outlineLevel="0" collapsed="false">
      <c r="A45" s="2" t="s">
        <v>177</v>
      </c>
      <c r="B45" s="2" t="s">
        <v>128</v>
      </c>
      <c r="C45" s="2" t="s">
        <v>129</v>
      </c>
      <c r="D45" s="2" t="s">
        <v>130</v>
      </c>
      <c r="E45" s="2" t="n">
        <v>1</v>
      </c>
      <c r="F45" s="2" t="n">
        <v>623.6177753792288</v>
      </c>
      <c r="G45" s="2" t="n">
        <v>301.6694788206025</v>
      </c>
      <c r="H45" s="2" t="n">
        <v>297.46236950498917</v>
      </c>
      <c r="I45" s="2" t="n">
        <v>1.572673311399337</v>
      </c>
      <c r="J45" s="2" t="n">
        <v>0.0041054448502160995</v>
      </c>
      <c r="K45" s="2" t="n">
        <v>0.00034212040418467494</v>
      </c>
      <c r="L45" s="2" t="n">
        <v>34.257158420830166</v>
      </c>
      <c r="M45" s="2" t="n">
        <v>0.38722830010723774</v>
      </c>
      <c r="N45" s="2" t="n">
        <v>1.1852093849312113</v>
      </c>
      <c r="O45" s="2" t="n">
        <v>5.198875</v>
      </c>
      <c r="P45" s="2" t="n">
        <v>2.0131515287200155</v>
      </c>
      <c r="Q45" s="2" t="n">
        <v>28.056939</v>
      </c>
      <c r="R45" s="2" t="n">
        <v>4.20701894073423</v>
      </c>
      <c r="S45" s="2" t="n">
        <v>86.64573913611993</v>
      </c>
      <c r="T45" s="2" t="n">
        <v>223.75879839393082</v>
      </c>
      <c r="U45" s="2" t="n">
        <v>0.0007316457482903145</v>
      </c>
      <c r="V45" s="2" t="n">
        <v>97.3003972376378</v>
      </c>
      <c r="W45" s="2" t="n">
        <v>0.0004006634049781754</v>
      </c>
      <c r="X45" s="2" t="n">
        <v>404.6699397680091</v>
      </c>
      <c r="Y45" s="2" t="n">
        <v>283.1960081459901</v>
      </c>
      <c r="Z45" s="2" t="n">
        <v>11.67615858331748</v>
      </c>
      <c r="AA45" s="2" t="n">
        <v>312.83864172837355</v>
      </c>
      <c r="AB45" s="2" t="n">
        <v>11.169162907771067</v>
      </c>
      <c r="AC45" s="2" t="n">
        <v>191.67131818510168</v>
      </c>
      <c r="AD45" s="2" t="n">
        <v>0.5821095461531762</v>
      </c>
      <c r="AE45" s="2" t="n">
        <v>314.5230245740328</v>
      </c>
      <c r="AF45" s="2" t="n">
        <v>317.57619327763666</v>
      </c>
      <c r="AG45" s="2" t="n">
        <v>306.84037129747543</v>
      </c>
      <c r="AH45" s="2" t="n">
        <v>10.735821980161234</v>
      </c>
      <c r="AI45" s="2" t="n">
        <v>2.5711502794273757</v>
      </c>
      <c r="AJ45" s="2" t="n">
        <v>317.29030236979696</v>
      </c>
      <c r="AK45" s="2" t="n">
        <v>317.40260029911855</v>
      </c>
      <c r="AL45" s="2" t="n">
        <v>317.51659460552975</v>
      </c>
      <c r="AM45" s="2" t="n">
        <v>9790007249.848616</v>
      </c>
      <c r="AN45" s="2" t="n">
        <v>9786102796.588346</v>
      </c>
      <c r="AO45" s="2" t="n">
        <v>314.5543919319316</v>
      </c>
      <c r="AP45" s="2" t="n">
        <v>213.66572819750883</v>
      </c>
      <c r="AQ45" s="2" t="n">
        <v>2.5759566409370467</v>
      </c>
      <c r="AR45" s="2" t="n">
        <v>16.963911247536284</v>
      </c>
      <c r="AS45" s="2" t="n">
        <v>2.4543437353948216</v>
      </c>
      <c r="AT45" s="2" t="n">
        <v>2.4416459626182596</v>
      </c>
      <c r="AU45" s="2" t="n">
        <v>295.52371230372665</v>
      </c>
      <c r="AV45" s="2" t="n">
        <v>152.10079520848623</v>
      </c>
      <c r="AW45" s="2" t="n">
        <v>9.492774893109453e-05</v>
      </c>
      <c r="AX45" s="2" t="n">
        <v>270</v>
      </c>
      <c r="AY45" s="2" t="n">
        <v>9.72734710558143e-07</v>
      </c>
      <c r="AZ45" s="2" t="s">
        <v>131</v>
      </c>
      <c r="BA45" s="2" t="n">
        <v>4.48</v>
      </c>
      <c r="BB45" s="2" t="s">
        <v>132</v>
      </c>
      <c r="BC45" s="2" t="n">
        <v>4</v>
      </c>
      <c r="BD45" s="2" t="s">
        <v>133</v>
      </c>
      <c r="BE45" s="2" t="n">
        <v>3000</v>
      </c>
      <c r="BF45" s="2" t="s">
        <v>134</v>
      </c>
      <c r="BG45" s="2" t="n">
        <v>120</v>
      </c>
    </row>
    <row r="46" customFormat="false" ht="15" hidden="false" customHeight="false" outlineLevel="0" collapsed="false">
      <c r="A46" s="2" t="s">
        <v>178</v>
      </c>
      <c r="B46" s="2" t="s">
        <v>128</v>
      </c>
      <c r="C46" s="2" t="s">
        <v>129</v>
      </c>
      <c r="D46" s="2" t="s">
        <v>130</v>
      </c>
      <c r="E46" s="2" t="n">
        <v>1</v>
      </c>
      <c r="F46" s="2" t="n">
        <v>425.17913013078527</v>
      </c>
      <c r="G46" s="2" t="n">
        <v>321.2444889961351</v>
      </c>
      <c r="H46" s="2" t="n">
        <v>304.16353842488115</v>
      </c>
      <c r="I46" s="2" t="n">
        <v>0.8537803208435086</v>
      </c>
      <c r="J46" s="2" t="n">
        <v>0.0033436026777931872</v>
      </c>
      <c r="K46" s="2" t="n">
        <v>0.0002786335564827656</v>
      </c>
      <c r="L46" s="2" t="n">
        <v>29.287591639481306</v>
      </c>
      <c r="M46" s="2" t="n">
        <v>0.5218412470951989</v>
      </c>
      <c r="N46" s="2" t="n">
        <v>1.5991287240233685</v>
      </c>
      <c r="O46" s="2" t="n">
        <v>5.198875</v>
      </c>
      <c r="P46" s="2" t="n">
        <v>2.712987413492052</v>
      </c>
      <c r="Q46" s="2" t="n">
        <v>28.056939</v>
      </c>
      <c r="R46" s="2" t="n">
        <v>7.640417571709593</v>
      </c>
      <c r="S46" s="2" t="n">
        <v>98.35768104926595</v>
      </c>
      <c r="T46" s="2" t="n">
        <v>188.4819983026805</v>
      </c>
      <c r="U46" s="2" t="n">
        <v>0.0005249213353566189</v>
      </c>
      <c r="V46" s="2" t="n">
        <v>23.735552816732575</v>
      </c>
      <c r="W46" s="2" t="n">
        <v>7.960106114034971e-05</v>
      </c>
      <c r="X46" s="2" t="n">
        <v>275.9017137957774</v>
      </c>
      <c r="Y46" s="2" t="n">
        <v>292.8193723975928</v>
      </c>
      <c r="Z46" s="2" t="n">
        <v>8.944365219205332</v>
      </c>
      <c r="AA46" s="2" t="n">
        <v>329.33243047120453</v>
      </c>
      <c r="AB46" s="2" t="n">
        <v>8.087941475069442</v>
      </c>
      <c r="AC46" s="2" t="n">
        <v>113.03916639480491</v>
      </c>
      <c r="AD46" s="2" t="n">
        <v>0.5035273726331232</v>
      </c>
      <c r="AE46" s="2" t="n">
        <v>331.24683506419825</v>
      </c>
      <c r="AF46" s="2" t="n">
        <v>333.9135664236966</v>
      </c>
      <c r="AG46" s="2" t="n">
        <v>324.7878504125961</v>
      </c>
      <c r="AH46" s="2" t="n">
        <v>9.125716011100508</v>
      </c>
      <c r="AI46" s="2" t="n">
        <v>2.245801375045206</v>
      </c>
      <c r="AJ46" s="2" t="n">
        <v>333.669140590451</v>
      </c>
      <c r="AK46" s="2" t="n">
        <v>333.7717555401233</v>
      </c>
      <c r="AL46" s="2" t="n">
        <v>333.8674123024541</v>
      </c>
      <c r="AM46" s="2" t="n">
        <v>12042762148.623821</v>
      </c>
      <c r="AN46" s="2" t="n">
        <v>12039458381.939003</v>
      </c>
      <c r="AO46" s="2" t="n">
        <v>331.2695572171976</v>
      </c>
      <c r="AP46" s="2" t="n">
        <v>145.67610488417048</v>
      </c>
      <c r="AQ46" s="2" t="n">
        <v>4.202689391231986</v>
      </c>
      <c r="AR46" s="2" t="n">
        <v>24.538251970579886</v>
      </c>
      <c r="AS46" s="2" t="n">
        <v>3.8961997163379487</v>
      </c>
      <c r="AT46" s="2" t="n">
        <v>2.2823064830613204</v>
      </c>
      <c r="AU46" s="2" t="n">
        <v>303.76438099133736</v>
      </c>
      <c r="AV46" s="2" t="n">
        <v>108.49241093631242</v>
      </c>
      <c r="AW46" s="2" t="n">
        <v>-0.0001393015261611369</v>
      </c>
      <c r="AX46" s="2" t="n">
        <v>364</v>
      </c>
      <c r="AY46" s="2" t="n">
        <v>9.703960017759528e-07</v>
      </c>
      <c r="AZ46" s="2" t="s">
        <v>131</v>
      </c>
      <c r="BA46" s="2" t="n">
        <v>4.48</v>
      </c>
      <c r="BB46" s="2" t="s">
        <v>132</v>
      </c>
      <c r="BC46" s="2" t="n">
        <v>4</v>
      </c>
      <c r="BD46" s="2" t="s">
        <v>133</v>
      </c>
      <c r="BE46" s="2" t="n">
        <v>3000</v>
      </c>
      <c r="BF46" s="2" t="s">
        <v>134</v>
      </c>
      <c r="BG46" s="2" t="n">
        <v>120</v>
      </c>
    </row>
    <row r="47" customFormat="false" ht="15" hidden="false" customHeight="false" outlineLevel="0" collapsed="false">
      <c r="A47" s="2" t="s">
        <v>179</v>
      </c>
      <c r="B47" s="2" t="s">
        <v>128</v>
      </c>
      <c r="C47" s="2" t="s">
        <v>129</v>
      </c>
      <c r="D47" s="2" t="s">
        <v>130</v>
      </c>
      <c r="E47" s="2" t="n">
        <v>1</v>
      </c>
      <c r="F47" s="2" t="n">
        <v>863.0301908295787</v>
      </c>
      <c r="G47" s="2" t="n">
        <v>301.98425961745545</v>
      </c>
      <c r="H47" s="2" t="n">
        <v>297.7903279079319</v>
      </c>
      <c r="I47" s="2" t="n">
        <v>3.533268021844867</v>
      </c>
      <c r="J47" s="2" t="n">
        <v>0.0011641790969613825</v>
      </c>
      <c r="K47" s="2" t="n">
        <v>9.701492474678188e-05</v>
      </c>
      <c r="L47" s="2" t="n">
        <v>33.76032114302455</v>
      </c>
      <c r="M47" s="2" t="n">
        <v>0.4896082080568295</v>
      </c>
      <c r="N47" s="2" t="n">
        <v>0.5237902606726941</v>
      </c>
      <c r="O47" s="2" t="n">
        <v>5.198875</v>
      </c>
      <c r="P47" s="2" t="n">
        <v>2.54541187266145</v>
      </c>
      <c r="Q47" s="2" t="n">
        <v>28.056939</v>
      </c>
      <c r="R47" s="2" t="n">
        <v>6.725702727668915</v>
      </c>
      <c r="S47" s="2" t="n">
        <v>33.19680696396425</v>
      </c>
      <c r="T47" s="2" t="n">
        <v>67.8027990905558</v>
      </c>
      <c r="U47" s="2" t="n">
        <v>0.0005415160405708987</v>
      </c>
      <c r="V47" s="2" t="n">
        <v>17.91923485663385</v>
      </c>
      <c r="W47" s="2" t="n">
        <v>2.0923970565330917e-05</v>
      </c>
      <c r="X47" s="2" t="n">
        <v>560.0263320406493</v>
      </c>
      <c r="Y47" s="2" t="n">
        <v>283.66448137961993</v>
      </c>
      <c r="Z47" s="2" t="n">
        <v>19.126418483010493</v>
      </c>
      <c r="AA47" s="2" t="n">
        <v>344.69251110220364</v>
      </c>
      <c r="AB47" s="2" t="n">
        <v>42.70825148474819</v>
      </c>
      <c r="AC47" s="2" t="n">
        <v>207.82982424159155</v>
      </c>
      <c r="AD47" s="2" t="n">
        <v>0.4560872789262335</v>
      </c>
      <c r="AE47" s="2" t="n">
        <v>372.29969104853507</v>
      </c>
      <c r="AF47" s="2" t="n">
        <v>392.1004524842308</v>
      </c>
      <c r="AG47" s="2" t="n">
        <v>325.37436797804907</v>
      </c>
      <c r="AH47" s="2" t="n">
        <v>66.72608450618173</v>
      </c>
      <c r="AI47" s="2" t="n">
        <v>17.67753178354374</v>
      </c>
      <c r="AJ47" s="2" t="n">
        <v>391.3696317649888</v>
      </c>
      <c r="AK47" s="2" t="n">
        <v>391.7657308733428</v>
      </c>
      <c r="AL47" s="2" t="n">
        <v>391.9979651402381</v>
      </c>
      <c r="AM47" s="2" t="n">
        <v>19465292064.881855</v>
      </c>
      <c r="AN47" s="2" t="n">
        <v>19211917069.323143</v>
      </c>
      <c r="AO47" s="2" t="n">
        <v>373.5211784446799</v>
      </c>
      <c r="AP47" s="2" t="n">
        <v>295.69390331746285</v>
      </c>
      <c r="AQ47" s="2" t="n">
        <v>13.416252907462846</v>
      </c>
      <c r="AR47" s="2" t="n">
        <v>63.72871000039481</v>
      </c>
      <c r="AS47" s="2" t="n">
        <v>10.718907797638751</v>
      </c>
      <c r="AT47" s="2" t="n">
        <v>2.2334003896929753</v>
      </c>
      <c r="AU47" s="2" t="n">
        <v>300.92454387797125</v>
      </c>
      <c r="AV47" s="2" t="n">
        <v>329.1316610120103</v>
      </c>
      <c r="AW47" s="2" t="n">
        <v>7.112973658163674e-05</v>
      </c>
      <c r="AX47" s="2" t="n">
        <v>1425</v>
      </c>
      <c r="AY47" s="2" t="n">
        <v>9.929968882715912e-07</v>
      </c>
      <c r="AZ47" s="2" t="s">
        <v>131</v>
      </c>
      <c r="BA47" s="2" t="n">
        <v>4.48</v>
      </c>
      <c r="BB47" s="2" t="s">
        <v>132</v>
      </c>
      <c r="BC47" s="2" t="n">
        <v>4</v>
      </c>
      <c r="BD47" s="2" t="s">
        <v>133</v>
      </c>
      <c r="BE47" s="2" t="n">
        <v>3000</v>
      </c>
      <c r="BF47" s="2" t="s">
        <v>134</v>
      </c>
      <c r="BG47" s="2" t="n">
        <v>120</v>
      </c>
    </row>
    <row r="48" customFormat="false" ht="15" hidden="false" customHeight="false" outlineLevel="0" collapsed="false">
      <c r="A48" s="2" t="s">
        <v>180</v>
      </c>
      <c r="B48" s="2" t="s">
        <v>128</v>
      </c>
      <c r="C48" s="2" t="s">
        <v>129</v>
      </c>
      <c r="D48" s="2" t="s">
        <v>130</v>
      </c>
      <c r="E48" s="2" t="n">
        <v>1</v>
      </c>
      <c r="F48" s="2" t="n">
        <v>557.5515560772545</v>
      </c>
      <c r="G48" s="2" t="n">
        <v>300.1845732762989</v>
      </c>
      <c r="H48" s="2" t="n">
        <v>310.0564934816611</v>
      </c>
      <c r="I48" s="2" t="n">
        <v>2.4742335106668594</v>
      </c>
      <c r="J48" s="2" t="n">
        <v>0.004464986127505153</v>
      </c>
      <c r="K48" s="2" t="n">
        <v>0.0003720821772920961</v>
      </c>
      <c r="L48" s="2" t="n">
        <v>31.298542106128934</v>
      </c>
      <c r="M48" s="2" t="n">
        <v>0.593770270286919</v>
      </c>
      <c r="N48" s="2" t="n">
        <v>1.9987451679949064</v>
      </c>
      <c r="O48" s="2" t="n">
        <v>5.198875</v>
      </c>
      <c r="P48" s="2" t="n">
        <v>3.086937413937906</v>
      </c>
      <c r="Q48" s="2" t="n">
        <v>28.056939</v>
      </c>
      <c r="R48" s="2" t="n">
        <v>9.891842340824622</v>
      </c>
      <c r="S48" s="2" t="n">
        <v>90.32388263043654</v>
      </c>
      <c r="T48" s="2" t="n">
        <v>152.11924063963437</v>
      </c>
      <c r="U48" s="2" t="n">
        <v>0.0007633177433552733</v>
      </c>
      <c r="V48" s="2" t="n">
        <v>32.0229925002533</v>
      </c>
      <c r="W48" s="2" t="n">
        <v>0.00014341245463874878</v>
      </c>
      <c r="X48" s="2" t="n">
        <v>361.79910759942294</v>
      </c>
      <c r="Y48" s="2" t="n">
        <v>301.37021259671485</v>
      </c>
      <c r="Z48" s="2" t="n">
        <v>15.102087340534066</v>
      </c>
      <c r="AA48" s="2" t="n">
        <v>310.22024424955816</v>
      </c>
      <c r="AB48" s="2" t="n">
        <v>10.035670973259244</v>
      </c>
      <c r="AC48" s="2" t="n">
        <v>187.3021704048802</v>
      </c>
      <c r="AD48" s="2" t="n">
        <v>0.6362442275221614</v>
      </c>
      <c r="AE48" s="2" t="n">
        <v>311.4253023699571</v>
      </c>
      <c r="AF48" s="2" t="n">
        <v>313.99565031651065</v>
      </c>
      <c r="AG48" s="2" t="n">
        <v>304.79880368903974</v>
      </c>
      <c r="AH48" s="2" t="n">
        <v>9.196846627470904</v>
      </c>
      <c r="AI48" s="2" t="n">
        <v>2.1519138449086355</v>
      </c>
      <c r="AJ48" s="2" t="n">
        <v>313.7353183510962</v>
      </c>
      <c r="AK48" s="2" t="n">
        <v>313.8339325149065</v>
      </c>
      <c r="AL48" s="2" t="n">
        <v>313.9424521022773</v>
      </c>
      <c r="AM48" s="2" t="n">
        <v>9408913141.487465</v>
      </c>
      <c r="AN48" s="2" t="n">
        <v>9406229681.454735</v>
      </c>
      <c r="AO48" s="2" t="n">
        <v>311.447511267429</v>
      </c>
      <c r="AP48" s="2" t="n">
        <v>191.0299288124953</v>
      </c>
      <c r="AQ48" s="2" t="n">
        <v>0.48594089379517585</v>
      </c>
      <c r="AR48" s="2" t="n">
        <v>3.045102455572066</v>
      </c>
      <c r="AS48" s="2" t="n">
        <v>0.19691667795556417</v>
      </c>
      <c r="AT48" s="2" t="n">
        <v>5.157877450708409</v>
      </c>
      <c r="AU48" s="2" t="n">
        <v>308.0148357856725</v>
      </c>
      <c r="AV48" s="2" t="n">
        <v>136.83763406489254</v>
      </c>
      <c r="AW48" s="2" t="n">
        <v>-0.00010519244827156892</v>
      </c>
      <c r="AX48" s="2" t="n">
        <v>224</v>
      </c>
      <c r="AY48" s="2" t="n">
        <v>9.61192199611105e-07</v>
      </c>
      <c r="AZ48" s="2" t="s">
        <v>131</v>
      </c>
      <c r="BA48" s="2" t="n">
        <v>4.48</v>
      </c>
      <c r="BB48" s="2" t="s">
        <v>132</v>
      </c>
      <c r="BC48" s="2" t="n">
        <v>4</v>
      </c>
      <c r="BD48" s="2" t="s">
        <v>133</v>
      </c>
      <c r="BE48" s="2" t="n">
        <v>3000</v>
      </c>
      <c r="BF48" s="2" t="s">
        <v>134</v>
      </c>
      <c r="BG48" s="2" t="n">
        <v>120</v>
      </c>
    </row>
    <row r="49" customFormat="false" ht="15" hidden="false" customHeight="false" outlineLevel="0" collapsed="false">
      <c r="A49" s="2" t="s">
        <v>181</v>
      </c>
      <c r="B49" s="2" t="s">
        <v>128</v>
      </c>
      <c r="C49" s="2" t="s">
        <v>129</v>
      </c>
      <c r="D49" s="2" t="s">
        <v>130</v>
      </c>
      <c r="E49" s="2" t="n">
        <v>1</v>
      </c>
      <c r="F49" s="2" t="n">
        <v>588.3968017441084</v>
      </c>
      <c r="G49" s="2" t="n">
        <v>309.8345946600553</v>
      </c>
      <c r="H49" s="2" t="n">
        <v>291.44483805960346</v>
      </c>
      <c r="I49" s="2" t="n">
        <v>0.7202051941766018</v>
      </c>
      <c r="J49" s="2" t="n">
        <v>0.0017598300760551546</v>
      </c>
      <c r="K49" s="2" t="n">
        <v>0.00014665250633792956</v>
      </c>
      <c r="L49" s="2" t="n">
        <v>26.24918412926116</v>
      </c>
      <c r="M49" s="2" t="n">
        <v>0.7062301066083121</v>
      </c>
      <c r="N49" s="2" t="n">
        <v>0.9043748749366921</v>
      </c>
      <c r="O49" s="2" t="n">
        <v>5.198875</v>
      </c>
      <c r="P49" s="2" t="n">
        <v>3.6716020454932887</v>
      </c>
      <c r="Q49" s="2" t="n">
        <v>28.056939</v>
      </c>
      <c r="R49" s="2" t="n">
        <v>13.993705927939248</v>
      </c>
      <c r="S49" s="2" t="n">
        <v>47.067820962617425</v>
      </c>
      <c r="T49" s="2" t="n">
        <v>66.64657952442982</v>
      </c>
      <c r="U49" s="2" t="n">
        <v>0.0005773437708037444</v>
      </c>
      <c r="V49" s="2" t="n">
        <v>8.995770410760636</v>
      </c>
      <c r="W49" s="2" t="n">
        <v>1.5878663316091876e-05</v>
      </c>
      <c r="X49" s="2" t="n">
        <v>381.81480342936413</v>
      </c>
      <c r="Y49" s="2" t="n">
        <v>274.6462219836867</v>
      </c>
      <c r="Z49" s="2" t="n">
        <v>8.436779737871086</v>
      </c>
      <c r="AA49" s="2" t="n">
        <v>329.585787381603</v>
      </c>
      <c r="AB49" s="2" t="n">
        <v>19.75119272154768</v>
      </c>
      <c r="AC49" s="2" t="n">
        <v>145.29154569544653</v>
      </c>
      <c r="AD49" s="2" t="n">
        <v>0.4676663455397633</v>
      </c>
      <c r="AE49" s="2" t="n">
        <v>339.9196046837546</v>
      </c>
      <c r="AF49" s="2" t="n">
        <v>348.85345636682337</v>
      </c>
      <c r="AG49" s="2" t="n">
        <v>319.1636865317612</v>
      </c>
      <c r="AH49" s="2" t="n">
        <v>29.68976983506218</v>
      </c>
      <c r="AI49" s="2" t="n">
        <v>7.760536186704595</v>
      </c>
      <c r="AJ49" s="2" t="n">
        <v>348.33944906568</v>
      </c>
      <c r="AK49" s="2" t="n">
        <v>348.550495301774</v>
      </c>
      <c r="AL49" s="2" t="n">
        <v>348.76216323221666</v>
      </c>
      <c r="AM49" s="2" t="n">
        <v>13391882454.516611</v>
      </c>
      <c r="AN49" s="2" t="n">
        <v>13350725052.273518</v>
      </c>
      <c r="AO49" s="2" t="n">
        <v>340.1812770568316</v>
      </c>
      <c r="AP49" s="2" t="n">
        <v>201.59821621070427</v>
      </c>
      <c r="AQ49" s="2" t="n">
        <v>7.203541746458946</v>
      </c>
      <c r="AR49" s="2" t="n">
        <v>42.129353345338366</v>
      </c>
      <c r="AS49" s="2" t="n">
        <v>6.9735739517169995</v>
      </c>
      <c r="AT49" s="2" t="n">
        <v>2.199936768283098</v>
      </c>
      <c r="AU49" s="2" t="n">
        <v>292.7353953186885</v>
      </c>
      <c r="AV49" s="2" t="n">
        <v>207.05145066923654</v>
      </c>
      <c r="AW49" s="2" t="n">
        <v>0.00010048131216527762</v>
      </c>
      <c r="AX49" s="2" t="n">
        <v>923</v>
      </c>
      <c r="AY49" s="2" t="n">
        <v>9.904881039801694e-07</v>
      </c>
      <c r="AZ49" s="2" t="s">
        <v>131</v>
      </c>
      <c r="BA49" s="2" t="n">
        <v>4.48</v>
      </c>
      <c r="BB49" s="2" t="s">
        <v>132</v>
      </c>
      <c r="BC49" s="2" t="n">
        <v>4</v>
      </c>
      <c r="BD49" s="2" t="s">
        <v>133</v>
      </c>
      <c r="BE49" s="2" t="n">
        <v>3000</v>
      </c>
      <c r="BF49" s="2" t="s">
        <v>134</v>
      </c>
      <c r="BG49" s="2" t="n">
        <v>120</v>
      </c>
    </row>
    <row r="50" customFormat="false" ht="15" hidden="false" customHeight="false" outlineLevel="0" collapsed="false">
      <c r="A50" s="2" t="s">
        <v>182</v>
      </c>
      <c r="B50" s="2" t="s">
        <v>128</v>
      </c>
      <c r="C50" s="2" t="s">
        <v>129</v>
      </c>
      <c r="D50" s="2" t="s">
        <v>130</v>
      </c>
      <c r="E50" s="2" t="n">
        <v>1</v>
      </c>
      <c r="F50" s="2" t="n">
        <v>445.1665721547005</v>
      </c>
      <c r="G50" s="2" t="n">
        <v>303.2963651146308</v>
      </c>
      <c r="H50" s="2" t="n">
        <v>292.68545440730384</v>
      </c>
      <c r="I50" s="2" t="n">
        <v>4.827817380207294</v>
      </c>
      <c r="J50" s="2" t="n">
        <v>0.0030704416866582634</v>
      </c>
      <c r="K50" s="2" t="n">
        <v>0.0002558701405548553</v>
      </c>
      <c r="L50" s="2" t="n">
        <v>34.495692274508535</v>
      </c>
      <c r="M50" s="2" t="n">
        <v>0.6411486573233709</v>
      </c>
      <c r="N50" s="2" t="n">
        <v>1.449668791998859</v>
      </c>
      <c r="O50" s="2" t="n">
        <v>5.198875</v>
      </c>
      <c r="P50" s="2" t="n">
        <v>3.3332517258420404</v>
      </c>
      <c r="Q50" s="2" t="n">
        <v>28.056939</v>
      </c>
      <c r="R50" s="2" t="n">
        <v>11.533410827928959</v>
      </c>
      <c r="S50" s="2" t="n">
        <v>66.00095029696705</v>
      </c>
      <c r="T50" s="2" t="n">
        <v>102.94172738737979</v>
      </c>
      <c r="U50" s="2" t="n">
        <v>0.0007183539871816975</v>
      </c>
      <c r="V50" s="2" t="n">
        <v>20.39433923213319</v>
      </c>
      <c r="W50" s="2" t="n">
        <v>6.280805351072401e-05</v>
      </c>
      <c r="X50" s="2" t="n">
        <v>288.8717048371902</v>
      </c>
      <c r="Y50" s="2" t="n">
        <v>276.40174942064016</v>
      </c>
      <c r="Z50" s="2" t="n">
        <v>24.045706044787714</v>
      </c>
      <c r="AA50" s="2" t="n">
        <v>313.0154676894284</v>
      </c>
      <c r="AB50" s="2" t="n">
        <v>9.719102574797603</v>
      </c>
      <c r="AC50" s="2" t="n">
        <v>124.7392995967268</v>
      </c>
      <c r="AD50" s="2" t="n">
        <v>0.5306972451573703</v>
      </c>
      <c r="AE50" s="2" t="n">
        <v>315.5596845333683</v>
      </c>
      <c r="AF50" s="2" t="n">
        <v>318.82433368612055</v>
      </c>
      <c r="AG50" s="2" t="n">
        <v>307.7299614155506</v>
      </c>
      <c r="AH50" s="2" t="n">
        <v>11.094372270569977</v>
      </c>
      <c r="AI50" s="2" t="n">
        <v>2.77226891802628</v>
      </c>
      <c r="AJ50" s="2" t="n">
        <v>318.5556411451107</v>
      </c>
      <c r="AK50" s="2" t="n">
        <v>318.6654452775672</v>
      </c>
      <c r="AL50" s="2" t="n">
        <v>318.7724754728611</v>
      </c>
      <c r="AM50" s="2" t="n">
        <v>9920324898.919182</v>
      </c>
      <c r="AN50" s="2" t="n">
        <v>9915761056.72673</v>
      </c>
      <c r="AO50" s="2" t="n">
        <v>315.5959882545707</v>
      </c>
      <c r="AP50" s="2" t="n">
        <v>152.52426015403643</v>
      </c>
      <c r="AQ50" s="2" t="n">
        <v>3.1921210585458515</v>
      </c>
      <c r="AR50" s="2" t="n">
        <v>21.30195896377696</v>
      </c>
      <c r="AS50" s="2" t="n">
        <v>3.290683926536521</v>
      </c>
      <c r="AT50" s="2" t="n">
        <v>2.3005378134487997</v>
      </c>
      <c r="AU50" s="2" t="n">
        <v>291.701827438011</v>
      </c>
      <c r="AV50" s="2" t="n">
        <v>124.81282382461622</v>
      </c>
      <c r="AW50" s="2" t="n">
        <v>0.00012937660247269793</v>
      </c>
      <c r="AX50" s="2" t="n">
        <v>367</v>
      </c>
      <c r="AY50" s="2" t="n">
        <v>9.726882126415148e-07</v>
      </c>
      <c r="AZ50" s="2" t="s">
        <v>131</v>
      </c>
      <c r="BA50" s="2" t="n">
        <v>4.48</v>
      </c>
      <c r="BB50" s="2" t="s">
        <v>132</v>
      </c>
      <c r="BC50" s="2" t="n">
        <v>4</v>
      </c>
      <c r="BD50" s="2" t="s">
        <v>133</v>
      </c>
      <c r="BE50" s="2" t="n">
        <v>3000</v>
      </c>
      <c r="BF50" s="2" t="s">
        <v>134</v>
      </c>
      <c r="BG50" s="2" t="n">
        <v>120</v>
      </c>
    </row>
    <row r="51" customFormat="false" ht="15" hidden="false" customHeight="false" outlineLevel="0" collapsed="false">
      <c r="A51" s="2" t="s">
        <v>183</v>
      </c>
      <c r="B51" s="2" t="s">
        <v>128</v>
      </c>
      <c r="C51" s="2" t="s">
        <v>129</v>
      </c>
      <c r="D51" s="2" t="s">
        <v>130</v>
      </c>
      <c r="E51" s="2" t="n">
        <v>1</v>
      </c>
      <c r="F51" s="2" t="n">
        <v>505.0827965899125</v>
      </c>
      <c r="G51" s="2" t="n">
        <v>323.81834502149036</v>
      </c>
      <c r="H51" s="2" t="n">
        <v>299.335071835944</v>
      </c>
      <c r="I51" s="2" t="n">
        <v>4.3036154145363215</v>
      </c>
      <c r="J51" s="2" t="n">
        <v>0.002227814446337938</v>
      </c>
      <c r="K51" s="2" t="n">
        <v>0.00018565120386149483</v>
      </c>
      <c r="L51" s="2" t="n">
        <v>24.8563718704958</v>
      </c>
      <c r="M51" s="2" t="n">
        <v>0.5621516797847197</v>
      </c>
      <c r="N51" s="2" t="n">
        <v>0.9933728823728836</v>
      </c>
      <c r="O51" s="2" t="n">
        <v>5.198875</v>
      </c>
      <c r="P51" s="2" t="n">
        <v>2.9225563142407847</v>
      </c>
      <c r="Q51" s="2" t="n">
        <v>28.056939</v>
      </c>
      <c r="R51" s="2" t="n">
        <v>8.866399860620552</v>
      </c>
      <c r="S51" s="2" t="n">
        <v>71.16550309934995</v>
      </c>
      <c r="T51" s="2" t="n">
        <v>126.59484203018535</v>
      </c>
      <c r="U51" s="2" t="n">
        <v>0.0004833896345108535</v>
      </c>
      <c r="V51" s="2" t="n">
        <v>15.660715946793534</v>
      </c>
      <c r="W51" s="2" t="n">
        <v>3.4994151681305466e-05</v>
      </c>
      <c r="X51" s="2" t="n">
        <v>327.7517622867703</v>
      </c>
      <c r="Y51" s="2" t="n">
        <v>285.87454353133757</v>
      </c>
      <c r="Z51" s="2" t="n">
        <v>22.05373857523802</v>
      </c>
      <c r="AA51" s="2" t="n">
        <v>336.93318793905934</v>
      </c>
      <c r="AB51" s="2" t="n">
        <v>13.114842917568978</v>
      </c>
      <c r="AC51" s="2" t="n">
        <v>122.12888462523017</v>
      </c>
      <c r="AD51" s="2" t="n">
        <v>0.457954037023763</v>
      </c>
      <c r="AE51" s="2" t="n">
        <v>342.47828210329783</v>
      </c>
      <c r="AF51" s="2" t="n">
        <v>347.96136569900676</v>
      </c>
      <c r="AG51" s="2" t="n">
        <v>329.6375617031663</v>
      </c>
      <c r="AH51" s="2" t="n">
        <v>18.32380399584048</v>
      </c>
      <c r="AI51" s="2" t="n">
        <v>4.703176052697674</v>
      </c>
      <c r="AJ51" s="2" t="n">
        <v>347.5580415262871</v>
      </c>
      <c r="AK51" s="2" t="n">
        <v>347.7285008203196</v>
      </c>
      <c r="AL51" s="2" t="n">
        <v>347.88922364410183</v>
      </c>
      <c r="AM51" s="2" t="n">
        <v>13772683748.812752</v>
      </c>
      <c r="AN51" s="2" t="n">
        <v>13757266347.347988</v>
      </c>
      <c r="AO51" s="2" t="n">
        <v>342.5741933748141</v>
      </c>
      <c r="AP51" s="2" t="n">
        <v>173.05293048741473</v>
      </c>
      <c r="AQ51" s="2" t="n">
        <v>6.76075530886466</v>
      </c>
      <c r="AR51" s="2" t="n">
        <v>37.956512543392655</v>
      </c>
      <c r="AS51" s="2" t="n">
        <v>6.206576911377472</v>
      </c>
      <c r="AT51" s="2" t="n">
        <v>2.235509503337738</v>
      </c>
      <c r="AU51" s="2" t="n">
        <v>299.96758843243555</v>
      </c>
      <c r="AV51" s="2" t="n">
        <v>155.47458299501176</v>
      </c>
      <c r="AW51" s="2" t="n">
        <v>0.00011744443952573933</v>
      </c>
      <c r="AX51" s="2" t="n">
        <v>669</v>
      </c>
      <c r="AY51" s="2" t="n">
        <v>9.855781399892294e-07</v>
      </c>
      <c r="AZ51" s="2" t="s">
        <v>131</v>
      </c>
      <c r="BA51" s="2" t="n">
        <v>4.48</v>
      </c>
      <c r="BB51" s="2" t="s">
        <v>132</v>
      </c>
      <c r="BC51" s="2" t="n">
        <v>4</v>
      </c>
      <c r="BD51" s="2" t="s">
        <v>133</v>
      </c>
      <c r="BE51" s="2" t="n">
        <v>3000</v>
      </c>
      <c r="BF51" s="2" t="s">
        <v>134</v>
      </c>
      <c r="BG51" s="2" t="n">
        <v>120</v>
      </c>
    </row>
    <row r="52" customFormat="false" ht="15" hidden="false" customHeight="false" outlineLevel="0" collapsed="false">
      <c r="A52" s="2" t="s">
        <v>184</v>
      </c>
      <c r="B52" s="2" t="s">
        <v>128</v>
      </c>
      <c r="C52" s="2" t="s">
        <v>129</v>
      </c>
      <c r="D52" s="2" t="s">
        <v>130</v>
      </c>
      <c r="E52" s="2" t="n">
        <v>1</v>
      </c>
      <c r="F52" s="2" t="n">
        <v>813.60303068945</v>
      </c>
      <c r="G52" s="2" t="n">
        <v>320.6877453785677</v>
      </c>
      <c r="H52" s="2" t="n">
        <v>284.6842950955919</v>
      </c>
      <c r="I52" s="2" t="n">
        <v>2.184816863883737</v>
      </c>
      <c r="J52" s="2" t="n">
        <v>0.003037252345544624</v>
      </c>
      <c r="K52" s="2" t="n">
        <v>0.00025310436212871865</v>
      </c>
      <c r="L52" s="2" t="n">
        <v>24.596733812822805</v>
      </c>
      <c r="M52" s="2" t="n">
        <v>0.5173767316928177</v>
      </c>
      <c r="N52" s="2" t="n">
        <v>1.3720216647113257</v>
      </c>
      <c r="O52" s="2" t="n">
        <v>5.198875</v>
      </c>
      <c r="P52" s="2" t="n">
        <v>2.689776955979498</v>
      </c>
      <c r="Q52" s="2" t="n">
        <v>28.056939</v>
      </c>
      <c r="R52" s="2" t="n">
        <v>7.510244466422677</v>
      </c>
      <c r="S52" s="2" t="n">
        <v>94.99508489702261</v>
      </c>
      <c r="T52" s="2" t="n">
        <v>183.6091170667955</v>
      </c>
      <c r="U52" s="2" t="n">
        <v>0.0004937050646770411</v>
      </c>
      <c r="V52" s="2" t="n">
        <v>22.41304985904515</v>
      </c>
      <c r="W52" s="2" t="n">
        <v>6.827892503028433e-05</v>
      </c>
      <c r="X52" s="2" t="n">
        <v>527.9527018355989</v>
      </c>
      <c r="Y52" s="2" t="n">
        <v>265.1455495928042</v>
      </c>
      <c r="Z52" s="2" t="n">
        <v>14.0023040827582</v>
      </c>
      <c r="AA52" s="2" t="n">
        <v>337.4085689386721</v>
      </c>
      <c r="AB52" s="2" t="n">
        <v>16.720823560104407</v>
      </c>
      <c r="AC52" s="2" t="n">
        <v>212.28280721338535</v>
      </c>
      <c r="AD52" s="2" t="n">
        <v>0.49416085741073645</v>
      </c>
      <c r="AE52" s="2" t="n">
        <v>342.1063539208773</v>
      </c>
      <c r="AF52" s="2" t="n">
        <v>348.05690133145845</v>
      </c>
      <c r="AG52" s="2" t="n">
        <v>327.87406086486686</v>
      </c>
      <c r="AH52" s="2" t="n">
        <v>20.182840466591585</v>
      </c>
      <c r="AI52" s="2" t="n">
        <v>5.0150901733613</v>
      </c>
      <c r="AJ52" s="2" t="n">
        <v>347.51510256213953</v>
      </c>
      <c r="AK52" s="2" t="n">
        <v>347.74356558526836</v>
      </c>
      <c r="AL52" s="2" t="n">
        <v>347.9585753656651</v>
      </c>
      <c r="AM52" s="2" t="n">
        <v>13715109191.399204</v>
      </c>
      <c r="AN52" s="2" t="n">
        <v>13697602581.076502</v>
      </c>
      <c r="AO52" s="2" t="n">
        <v>342.2156112574552</v>
      </c>
      <c r="AP52" s="2" t="n">
        <v>278.75902656919624</v>
      </c>
      <c r="AQ52" s="2" t="n">
        <v>8.339220552171197</v>
      </c>
      <c r="AR52" s="2" t="n">
        <v>49.8760675160205</v>
      </c>
      <c r="AS52" s="2" t="n">
        <v>8.260730304959644</v>
      </c>
      <c r="AT52" s="2" t="n">
        <v>2.192570819886497</v>
      </c>
      <c r="AU52" s="2" t="n">
        <v>286.24594721842124</v>
      </c>
      <c r="AV52" s="2" t="n">
        <v>221.01590873864217</v>
      </c>
      <c r="AW52" s="2" t="n">
        <v>7.319043598021936e-05</v>
      </c>
      <c r="AX52" s="2" t="n">
        <v>484</v>
      </c>
      <c r="AY52" s="2" t="n">
        <v>9.750956451171078e-07</v>
      </c>
      <c r="AZ52" s="2" t="s">
        <v>131</v>
      </c>
      <c r="BA52" s="2" t="n">
        <v>4.48</v>
      </c>
      <c r="BB52" s="2" t="s">
        <v>132</v>
      </c>
      <c r="BC52" s="2" t="n">
        <v>4</v>
      </c>
      <c r="BD52" s="2" t="s">
        <v>133</v>
      </c>
      <c r="BE52" s="2" t="n">
        <v>3000</v>
      </c>
      <c r="BF52" s="2" t="s">
        <v>134</v>
      </c>
      <c r="BG52" s="2" t="n">
        <v>120</v>
      </c>
    </row>
    <row r="53" customFormat="false" ht="15" hidden="false" customHeight="false" outlineLevel="0" collapsed="false">
      <c r="A53" s="2" t="s">
        <v>185</v>
      </c>
      <c r="B53" s="2" t="s">
        <v>128</v>
      </c>
      <c r="C53" s="2" t="s">
        <v>129</v>
      </c>
      <c r="D53" s="2" t="s">
        <v>130</v>
      </c>
      <c r="E53" s="2" t="n">
        <v>1</v>
      </c>
      <c r="F53" s="2" t="n">
        <v>992.1226315517079</v>
      </c>
      <c r="G53" s="2" t="n">
        <v>289.4104568102605</v>
      </c>
      <c r="H53" s="2" t="n">
        <v>294.83928731718356</v>
      </c>
      <c r="I53" s="2" t="n">
        <v>4.249013025426163</v>
      </c>
      <c r="J53" s="2" t="n">
        <v>0.0041995516635108514</v>
      </c>
      <c r="K53" s="2" t="n">
        <v>0.00034996263862590427</v>
      </c>
      <c r="L53" s="2" t="n">
        <v>32.748052710190095</v>
      </c>
      <c r="M53" s="2" t="n">
        <v>0.8961414622365942</v>
      </c>
      <c r="N53" s="2" t="n">
        <v>1.8506267088702892</v>
      </c>
      <c r="O53" s="2" t="n">
        <v>5.198875</v>
      </c>
      <c r="P53" s="2" t="n">
        <v>4.658927444485275</v>
      </c>
      <c r="Q53" s="2" t="n">
        <v>28.056939</v>
      </c>
      <c r="R53" s="2" t="n">
        <v>22.531672544925772</v>
      </c>
      <c r="S53" s="2" t="n">
        <v>73.47978163009833</v>
      </c>
      <c r="T53" s="2" t="n">
        <v>81.99573920696307</v>
      </c>
      <c r="U53" s="2" t="n">
        <v>0.0008825166605528497</v>
      </c>
      <c r="V53" s="2" t="n">
        <v>17.874734035843925</v>
      </c>
      <c r="W53" s="2" t="n">
        <v>7.529174428790611e-05</v>
      </c>
      <c r="X53" s="2" t="n">
        <v>643.795320472324</v>
      </c>
      <c r="Y53" s="2" t="n">
        <v>279.45836051035474</v>
      </c>
      <c r="Z53" s="2" t="n">
        <v>21.846249496619418</v>
      </c>
      <c r="AA53" s="2" t="n">
        <v>307.6700913887194</v>
      </c>
      <c r="AB53" s="2" t="n">
        <v>18.25963457845893</v>
      </c>
      <c r="AC53" s="2" t="n">
        <v>320.531925254702</v>
      </c>
      <c r="AD53" s="2" t="n">
        <v>0.6118881083335898</v>
      </c>
      <c r="AE53" s="2" t="n">
        <v>310.1279276574388</v>
      </c>
      <c r="AF53" s="2" t="n">
        <v>314.9396078077596</v>
      </c>
      <c r="AG53" s="2" t="n">
        <v>297.9182686408154</v>
      </c>
      <c r="AH53" s="2" t="n">
        <v>17.021339166944188</v>
      </c>
      <c r="AI53" s="2" t="n">
        <v>4.027665078681203</v>
      </c>
      <c r="AJ53" s="2" t="n">
        <v>314.4662410702998</v>
      </c>
      <c r="AK53" s="2" t="n">
        <v>314.64851785983416</v>
      </c>
      <c r="AL53" s="2" t="n">
        <v>314.8419932592327</v>
      </c>
      <c r="AM53" s="2" t="n">
        <v>9259759940.463722</v>
      </c>
      <c r="AN53" s="2" t="n">
        <v>9250463810.30633</v>
      </c>
      <c r="AO53" s="2" t="n">
        <v>310.20581304292557</v>
      </c>
      <c r="AP53" s="2" t="n">
        <v>339.9239292093871</v>
      </c>
      <c r="AQ53" s="2" t="n">
        <v>2.209113563757466</v>
      </c>
      <c r="AR53" s="2" t="n">
        <v>14.983270390495163</v>
      </c>
      <c r="AS53" s="2" t="n">
        <v>2.1994219149237684</v>
      </c>
      <c r="AT53" s="2" t="n">
        <v>2.4022594161302355</v>
      </c>
      <c r="AU53" s="2" t="n">
        <v>293.3469018182006</v>
      </c>
      <c r="AV53" s="2" t="n">
        <v>244.1312848895165</v>
      </c>
      <c r="AW53" s="2" t="n">
        <v>5.9386747343244415e-05</v>
      </c>
      <c r="AX53" s="2" t="n">
        <v>303</v>
      </c>
      <c r="AY53" s="2" t="n">
        <v>9.76518379047775e-07</v>
      </c>
      <c r="AZ53" s="2" t="s">
        <v>131</v>
      </c>
      <c r="BA53" s="2" t="n">
        <v>4.48</v>
      </c>
      <c r="BB53" s="2" t="s">
        <v>132</v>
      </c>
      <c r="BC53" s="2" t="n">
        <v>4</v>
      </c>
      <c r="BD53" s="2" t="s">
        <v>133</v>
      </c>
      <c r="BE53" s="2" t="n">
        <v>3000</v>
      </c>
      <c r="BF53" s="2" t="s">
        <v>134</v>
      </c>
      <c r="BG53" s="2" t="n">
        <v>120</v>
      </c>
    </row>
    <row r="54" customFormat="false" ht="15" hidden="false" customHeight="false" outlineLevel="0" collapsed="false">
      <c r="A54" s="2" t="s">
        <v>186</v>
      </c>
      <c r="B54" s="2" t="s">
        <v>128</v>
      </c>
      <c r="C54" s="2" t="s">
        <v>129</v>
      </c>
      <c r="D54" s="2" t="s">
        <v>130</v>
      </c>
      <c r="E54" s="2" t="n">
        <v>1</v>
      </c>
      <c r="F54" s="2" t="n">
        <v>904.6212533037924</v>
      </c>
      <c r="G54" s="2" t="n">
        <v>289.75481160261467</v>
      </c>
      <c r="H54" s="2" t="n">
        <v>289.04974368376395</v>
      </c>
      <c r="I54" s="2" t="n">
        <v>2.934315161800085</v>
      </c>
      <c r="J54" s="2" t="n">
        <v>0.0032055742948291256</v>
      </c>
      <c r="K54" s="2" t="n">
        <v>0.00026713119123576045</v>
      </c>
      <c r="L54" s="2" t="n">
        <v>22.827932107674986</v>
      </c>
      <c r="M54" s="2" t="n">
        <v>0.8603523291488546</v>
      </c>
      <c r="N54" s="2" t="n">
        <v>1.65218165234625</v>
      </c>
      <c r="O54" s="2" t="n">
        <v>5.198875</v>
      </c>
      <c r="P54" s="2" t="n">
        <v>4.472864215203751</v>
      </c>
      <c r="Q54" s="2" t="n">
        <v>28.056939</v>
      </c>
      <c r="R54" s="2" t="n">
        <v>20.767918244463594</v>
      </c>
      <c r="S54" s="2" t="n">
        <v>58.12565022097729</v>
      </c>
      <c r="T54" s="2" t="n">
        <v>67.56028693323923</v>
      </c>
      <c r="U54" s="2" t="n">
        <v>0.0008515808061417141</v>
      </c>
      <c r="V54" s="2" t="n">
        <v>14.22738322589625</v>
      </c>
      <c r="W54" s="2" t="n">
        <v>4.574416645096902e-05</v>
      </c>
      <c r="X54" s="2" t="n">
        <v>587.015063617604</v>
      </c>
      <c r="Y54" s="2" t="n">
        <v>271.26762222216706</v>
      </c>
      <c r="Z54" s="2" t="n">
        <v>16.850397614840322</v>
      </c>
      <c r="AA54" s="2" t="n">
        <v>310.4927580185959</v>
      </c>
      <c r="AB54" s="2" t="n">
        <v>20.73794641598124</v>
      </c>
      <c r="AC54" s="2" t="n">
        <v>277.8739768670034</v>
      </c>
      <c r="AD54" s="2" t="n">
        <v>0.581764433918607</v>
      </c>
      <c r="AE54" s="2" t="n">
        <v>315.4939333668101</v>
      </c>
      <c r="AF54" s="2" t="n">
        <v>322.40234455208537</v>
      </c>
      <c r="AG54" s="2" t="n">
        <v>298.89675331631594</v>
      </c>
      <c r="AH54" s="2" t="n">
        <v>23.50559123576943</v>
      </c>
      <c r="AI54" s="2" t="n">
        <v>5.76765165098789</v>
      </c>
      <c r="AJ54" s="2" t="n">
        <v>321.7293725978195</v>
      </c>
      <c r="AK54" s="2" t="n">
        <v>322.0142772562551</v>
      </c>
      <c r="AL54" s="2" t="n">
        <v>322.27256724824645</v>
      </c>
      <c r="AM54" s="2" t="n">
        <v>9927168005.745712</v>
      </c>
      <c r="AN54" s="2" t="n">
        <v>9907499302.822428</v>
      </c>
      <c r="AO54" s="2" t="n">
        <v>315.6503992404407</v>
      </c>
      <c r="AP54" s="2" t="n">
        <v>309.94395359009496</v>
      </c>
      <c r="AQ54" s="2" t="n">
        <v>3.6395234752488985</v>
      </c>
      <c r="AR54" s="2" t="n">
        <v>24.625989939040913</v>
      </c>
      <c r="AS54" s="2" t="n">
        <v>3.804257868382945</v>
      </c>
      <c r="AT54" s="2" t="n">
        <v>2.2968596507051635</v>
      </c>
      <c r="AU54" s="2" t="n">
        <v>287.91321415706966</v>
      </c>
      <c r="AV54" s="2" t="n">
        <v>269.2533431165016</v>
      </c>
      <c r="AW54" s="2" t="n">
        <v>6.485894919338595e-05</v>
      </c>
      <c r="AX54" s="2" t="n">
        <v>444</v>
      </c>
      <c r="AY54" s="2" t="n">
        <v>9.993673870667408e-07</v>
      </c>
      <c r="AZ54" s="2" t="s">
        <v>131</v>
      </c>
      <c r="BA54" s="2" t="n">
        <v>4.48</v>
      </c>
      <c r="BB54" s="2" t="s">
        <v>132</v>
      </c>
      <c r="BC54" s="2" t="n">
        <v>4</v>
      </c>
      <c r="BD54" s="2" t="s">
        <v>133</v>
      </c>
      <c r="BE54" s="2" t="n">
        <v>3000</v>
      </c>
      <c r="BF54" s="2" t="s">
        <v>134</v>
      </c>
      <c r="BG54" s="2" t="n">
        <v>120</v>
      </c>
    </row>
    <row r="55" customFormat="false" ht="15" hidden="false" customHeight="false" outlineLevel="0" collapsed="false">
      <c r="A55" s="2" t="s">
        <v>187</v>
      </c>
      <c r="B55" s="2" t="s">
        <v>128</v>
      </c>
      <c r="C55" s="2" t="s">
        <v>129</v>
      </c>
      <c r="D55" s="2" t="s">
        <v>130</v>
      </c>
      <c r="E55" s="2" t="n">
        <v>1</v>
      </c>
      <c r="F55" s="2" t="n">
        <v>757.9965837759712</v>
      </c>
      <c r="G55" s="2" t="n">
        <v>313.56765729185474</v>
      </c>
      <c r="H55" s="2" t="n">
        <v>307.87759054425794</v>
      </c>
      <c r="I55" s="2" t="n">
        <v>2.5447388010128065</v>
      </c>
      <c r="J55" s="2" t="n">
        <v>0.0038208860368233173</v>
      </c>
      <c r="K55" s="2" t="n">
        <v>0.00031840716973527644</v>
      </c>
      <c r="L55" s="2" t="n">
        <v>32.316199110187256</v>
      </c>
      <c r="M55" s="2" t="n">
        <v>0.9255393370406811</v>
      </c>
      <c r="N55" s="2" t="n">
        <v>0.9640894742765107</v>
      </c>
      <c r="O55" s="2" t="n">
        <v>5.198875</v>
      </c>
      <c r="P55" s="2" t="n">
        <v>4.811763320857371</v>
      </c>
      <c r="Q55" s="2" t="n">
        <v>28.056939</v>
      </c>
      <c r="R55" s="2" t="n">
        <v>24.034221064136116</v>
      </c>
      <c r="S55" s="2" t="n">
        <v>104.18898304155964</v>
      </c>
      <c r="T55" s="2" t="n">
        <v>112.57110192063088</v>
      </c>
      <c r="U55" s="2" t="n">
        <v>0.0005662785703691684</v>
      </c>
      <c r="V55" s="2" t="n">
        <v>10.437656205330434</v>
      </c>
      <c r="W55" s="2" t="n">
        <v>4.000109814654895e-05</v>
      </c>
      <c r="X55" s="2" t="n">
        <v>491.86928918831404</v>
      </c>
      <c r="Y55" s="2" t="n">
        <v>298.19900937752493</v>
      </c>
      <c r="Z55" s="2" t="n">
        <v>15.370007443848664</v>
      </c>
      <c r="AA55" s="2" t="n">
        <v>328.1010536326681</v>
      </c>
      <c r="AB55" s="2" t="n">
        <v>14.53339634081334</v>
      </c>
      <c r="AC55" s="2" t="n">
        <v>232.11728579125307</v>
      </c>
      <c r="AD55" s="2" t="n">
        <v>0.5799710460229107</v>
      </c>
      <c r="AE55" s="2" t="n">
        <v>330.69843105312935</v>
      </c>
      <c r="AF55" s="2" t="n">
        <v>334.9707062550441</v>
      </c>
      <c r="AG55" s="2" t="n">
        <v>320.04429407913364</v>
      </c>
      <c r="AH55" s="2" t="n">
        <v>14.926412175910457</v>
      </c>
      <c r="AI55" s="2" t="n">
        <v>3.5869503048051086</v>
      </c>
      <c r="AJ55" s="2" t="n">
        <v>334.55906887532245</v>
      </c>
      <c r="AK55" s="2" t="n">
        <v>334.72812031796883</v>
      </c>
      <c r="AL55" s="2" t="n">
        <v>334.8923115535801</v>
      </c>
      <c r="AM55" s="2" t="n">
        <v>11968316027.609129</v>
      </c>
      <c r="AN55" s="2" t="n">
        <v>11959927249.384186</v>
      </c>
      <c r="AO55" s="2" t="n">
        <v>330.7564043659738</v>
      </c>
      <c r="AP55" s="2" t="n">
        <v>259.70698469142985</v>
      </c>
      <c r="AQ55" s="2" t="n">
        <v>3.6041809389116324</v>
      </c>
      <c r="AR55" s="2" t="n">
        <v>20.702315138042838</v>
      </c>
      <c r="AS55" s="2" t="n">
        <v>3.2830033027877468</v>
      </c>
      <c r="AT55" s="2" t="n">
        <v>2.2897148592602585</v>
      </c>
      <c r="AU55" s="2" t="n">
        <v>307.5121655577186</v>
      </c>
      <c r="AV55" s="2" t="n">
        <v>197.49624332598086</v>
      </c>
      <c r="AW55" s="2" t="n">
        <v>7.882856232613821e-05</v>
      </c>
      <c r="AX55" s="2" t="n">
        <v>343</v>
      </c>
      <c r="AY55" s="2" t="n">
        <v>9.667099902799237e-07</v>
      </c>
      <c r="AZ55" s="2" t="s">
        <v>131</v>
      </c>
      <c r="BA55" s="2" t="n">
        <v>4.48</v>
      </c>
      <c r="BB55" s="2" t="s">
        <v>132</v>
      </c>
      <c r="BC55" s="2" t="n">
        <v>4</v>
      </c>
      <c r="BD55" s="2" t="s">
        <v>133</v>
      </c>
      <c r="BE55" s="2" t="n">
        <v>3000</v>
      </c>
      <c r="BF55" s="2" t="s">
        <v>134</v>
      </c>
      <c r="BG55" s="2" t="n">
        <v>120</v>
      </c>
    </row>
    <row r="56" customFormat="false" ht="15" hidden="false" customHeight="false" outlineLevel="0" collapsed="false">
      <c r="A56" s="2" t="s">
        <v>188</v>
      </c>
      <c r="B56" s="2" t="s">
        <v>128</v>
      </c>
      <c r="C56" s="2" t="s">
        <v>129</v>
      </c>
      <c r="D56" s="2" t="s">
        <v>130</v>
      </c>
      <c r="E56" s="2" t="n">
        <v>1</v>
      </c>
      <c r="F56" s="2" t="n">
        <v>682.4552492307023</v>
      </c>
      <c r="G56" s="2" t="n">
        <v>325.81844378980793</v>
      </c>
      <c r="H56" s="2" t="n">
        <v>304.55202246175054</v>
      </c>
      <c r="I56" s="2" t="n">
        <v>1.3541067919116747</v>
      </c>
      <c r="J56" s="2" t="n">
        <v>0.0012400006871916907</v>
      </c>
      <c r="K56" s="2" t="n">
        <v>0.00010333339059930756</v>
      </c>
      <c r="L56" s="2" t="n">
        <v>21.74136584354759</v>
      </c>
      <c r="M56" s="2" t="n">
        <v>0.8829246737401965</v>
      </c>
      <c r="N56" s="2" t="n">
        <v>1.2993397534505677</v>
      </c>
      <c r="O56" s="2" t="n">
        <v>5.198875</v>
      </c>
      <c r="P56" s="2" t="n">
        <v>4.590215013191065</v>
      </c>
      <c r="Q56" s="2" t="n">
        <v>28.056939</v>
      </c>
      <c r="R56" s="2" t="n">
        <v>21.871954563895216</v>
      </c>
      <c r="S56" s="2" t="n">
        <v>46.16375520221637</v>
      </c>
      <c r="T56" s="2" t="n">
        <v>52.28504375878413</v>
      </c>
      <c r="U56" s="2" t="n">
        <v>0.0004147712428459368</v>
      </c>
      <c r="V56" s="2" t="n">
        <v>2.6431852321033675</v>
      </c>
      <c r="W56" s="2" t="n">
        <v>3.2874137454193625e-06</v>
      </c>
      <c r="X56" s="2" t="n">
        <v>442.8499884125473</v>
      </c>
      <c r="Y56" s="2" t="n">
        <v>293.38054403324475</v>
      </c>
      <c r="Z56" s="2" t="n">
        <v>10.845605809264363</v>
      </c>
      <c r="AA56" s="2" t="n">
        <v>355.32734960533793</v>
      </c>
      <c r="AB56" s="2" t="n">
        <v>29.50890581553</v>
      </c>
      <c r="AC56" s="2" t="n">
        <v>152.9506453862441</v>
      </c>
      <c r="AD56" s="2" t="n">
        <v>0.4244662971704053</v>
      </c>
      <c r="AE56" s="2" t="n">
        <v>374.2269313994208</v>
      </c>
      <c r="AF56" s="2" t="n">
        <v>388.20026859322036</v>
      </c>
      <c r="AG56" s="2" t="n">
        <v>340.88156689786246</v>
      </c>
      <c r="AH56" s="2" t="n">
        <v>47.3187016953579</v>
      </c>
      <c r="AI56" s="2" t="n">
        <v>12.402683706658419</v>
      </c>
      <c r="AJ56" s="2" t="n">
        <v>387.56367868145384</v>
      </c>
      <c r="AK56" s="2" t="n">
        <v>387.850627877929</v>
      </c>
      <c r="AL56" s="2" t="n">
        <v>388.099812534407</v>
      </c>
      <c r="AM56" s="2" t="n">
        <v>19739564942.40884</v>
      </c>
      <c r="AN56" s="2" t="n">
        <v>19612825028.986027</v>
      </c>
      <c r="AO56" s="2" t="n">
        <v>374.83004422201503</v>
      </c>
      <c r="AP56" s="2" t="n">
        <v>233.82479388182497</v>
      </c>
      <c r="AQ56" s="2" t="n">
        <v>12.646004980849996</v>
      </c>
      <c r="AR56" s="2" t="n">
        <v>58.204511704255935</v>
      </c>
      <c r="AS56" s="2" t="n">
        <v>10.023423811883072</v>
      </c>
      <c r="AT56" s="2" t="n">
        <v>2.198362913170197</v>
      </c>
      <c r="AU56" s="2" t="n">
        <v>309.0387989414387</v>
      </c>
      <c r="AV56" s="2" t="n">
        <v>241.94768228474834</v>
      </c>
      <c r="AW56" s="2" t="n">
        <v>8.953056904093149e-05</v>
      </c>
      <c r="AX56" s="2" t="n">
        <v>1328</v>
      </c>
      <c r="AY56" s="2" t="n">
        <v>9.917187639985059e-07</v>
      </c>
      <c r="AZ56" s="2" t="s">
        <v>131</v>
      </c>
      <c r="BA56" s="2" t="n">
        <v>4.48</v>
      </c>
      <c r="BB56" s="2" t="s">
        <v>132</v>
      </c>
      <c r="BC56" s="2" t="n">
        <v>4</v>
      </c>
      <c r="BD56" s="2" t="s">
        <v>133</v>
      </c>
      <c r="BE56" s="2" t="n">
        <v>3000</v>
      </c>
      <c r="BF56" s="2" t="s">
        <v>134</v>
      </c>
      <c r="BG56" s="2" t="n">
        <v>120</v>
      </c>
    </row>
    <row r="57" customFormat="false" ht="15" hidden="false" customHeight="false" outlineLevel="0" collapsed="false">
      <c r="A57" s="2" t="s">
        <v>189</v>
      </c>
      <c r="B57" s="2" t="s">
        <v>128</v>
      </c>
      <c r="C57" s="2" t="s">
        <v>129</v>
      </c>
      <c r="D57" s="2" t="s">
        <v>130</v>
      </c>
      <c r="E57" s="2" t="n">
        <v>1</v>
      </c>
      <c r="F57" s="2" t="n">
        <v>940.3440115406308</v>
      </c>
      <c r="G57" s="2" t="n">
        <v>332.9786828301657</v>
      </c>
      <c r="H57" s="2" t="n">
        <v>288.3488469749876</v>
      </c>
      <c r="I57" s="2" t="n">
        <v>0.20347150900025573</v>
      </c>
      <c r="J57" s="2" t="n">
        <v>0.002375431832665235</v>
      </c>
      <c r="K57" s="2" t="n">
        <v>0.0001979526527221029</v>
      </c>
      <c r="L57" s="2" t="n">
        <v>35.98761971073191</v>
      </c>
      <c r="M57" s="2" t="n">
        <v>0.4164481305175868</v>
      </c>
      <c r="N57" s="2" t="n">
        <v>0.8184543210885478</v>
      </c>
      <c r="O57" s="2" t="n">
        <v>5.198875</v>
      </c>
      <c r="P57" s="2" t="n">
        <v>2.1650617745446192</v>
      </c>
      <c r="Q57" s="2" t="n">
        <v>28.056939</v>
      </c>
      <c r="R57" s="2" t="n">
        <v>4.865888147941294</v>
      </c>
      <c r="S57" s="2" t="n">
        <v>93.68466197648871</v>
      </c>
      <c r="T57" s="2" t="n">
        <v>224.96117790239995</v>
      </c>
      <c r="U57" s="2" t="n">
        <v>0.00039152718278816283</v>
      </c>
      <c r="V57" s="2" t="n">
        <v>31.85143110556787</v>
      </c>
      <c r="W57" s="2" t="n">
        <v>7.588856907132351e-05</v>
      </c>
      <c r="X57" s="2" t="n">
        <v>610.1958114967961</v>
      </c>
      <c r="Y57" s="2" t="n">
        <v>270.28155347870336</v>
      </c>
      <c r="Z57" s="2" t="n">
        <v>6.473191734200972</v>
      </c>
      <c r="AA57" s="2" t="n">
        <v>356.56468773321956</v>
      </c>
      <c r="AB57" s="2" t="n">
        <v>23.586004903053833</v>
      </c>
      <c r="AC57" s="2" t="n">
        <v>234.1926378418297</v>
      </c>
      <c r="AD57" s="2" t="n">
        <v>0.47168552905710504</v>
      </c>
      <c r="AE57" s="2" t="n">
        <v>366.15614734199016</v>
      </c>
      <c r="AF57" s="2" t="n">
        <v>375.73034217478414</v>
      </c>
      <c r="AG57" s="2" t="n">
        <v>343.794585613451</v>
      </c>
      <c r="AH57" s="2" t="n">
        <v>31.935756561333164</v>
      </c>
      <c r="AI57" s="2" t="n">
        <v>8.246574763908637</v>
      </c>
      <c r="AJ57" s="2" t="n">
        <v>375.10738434304807</v>
      </c>
      <c r="AK57" s="2" t="n">
        <v>375.3651058639266</v>
      </c>
      <c r="AL57" s="2" t="n">
        <v>375.61973331188216</v>
      </c>
      <c r="AM57" s="2" t="n">
        <v>18028840126.209526</v>
      </c>
      <c r="AN57" s="2" t="n">
        <v>17974851840.834442</v>
      </c>
      <c r="AO57" s="2" t="n">
        <v>366.43077987076157</v>
      </c>
      <c r="AP57" s="2" t="n">
        <v>322.18338847030833</v>
      </c>
      <c r="AQ57" s="2" t="n">
        <v>12.54978962358244</v>
      </c>
      <c r="AR57" s="2" t="n">
        <v>64.24740127662784</v>
      </c>
      <c r="AS57" s="2" t="n">
        <v>11.193348640536156</v>
      </c>
      <c r="AT57" s="2" t="n">
        <v>2.1418189312766316</v>
      </c>
      <c r="AU57" s="2" t="n">
        <v>294.200074146453</v>
      </c>
      <c r="AV57" s="2" t="n">
        <v>291.28734649854647</v>
      </c>
      <c r="AW57" s="2" t="n">
        <v>6.563475654742279e-05</v>
      </c>
      <c r="AX57" s="2" t="n">
        <v>699</v>
      </c>
      <c r="AY57" s="2" t="n">
        <v>9.98815607999859e-07</v>
      </c>
      <c r="AZ57" s="2" t="s">
        <v>131</v>
      </c>
      <c r="BA57" s="2" t="n">
        <v>4.48</v>
      </c>
      <c r="BB57" s="2" t="s">
        <v>132</v>
      </c>
      <c r="BC57" s="2" t="n">
        <v>4</v>
      </c>
      <c r="BD57" s="2" t="s">
        <v>133</v>
      </c>
      <c r="BE57" s="2" t="n">
        <v>3000</v>
      </c>
      <c r="BF57" s="2" t="s">
        <v>134</v>
      </c>
      <c r="BG57" s="2" t="n">
        <v>120</v>
      </c>
    </row>
    <row r="58" customFormat="false" ht="15" hidden="false" customHeight="false" outlineLevel="0" collapsed="false">
      <c r="A58" s="2" t="s">
        <v>190</v>
      </c>
      <c r="B58" s="2" t="s">
        <v>128</v>
      </c>
      <c r="C58" s="2" t="s">
        <v>129</v>
      </c>
      <c r="D58" s="2" t="s">
        <v>130</v>
      </c>
      <c r="E58" s="2" t="n">
        <v>1</v>
      </c>
      <c r="F58" s="2" t="n">
        <v>677.9394753174302</v>
      </c>
      <c r="G58" s="2" t="n">
        <v>311.53058807732316</v>
      </c>
      <c r="H58" s="2" t="n">
        <v>305.07826983900713</v>
      </c>
      <c r="I58" s="2" t="n">
        <v>0.8071805352617755</v>
      </c>
      <c r="J58" s="2" t="n">
        <v>0.0017319537560844397</v>
      </c>
      <c r="K58" s="2" t="n">
        <v>0.0001443294796737033</v>
      </c>
      <c r="L58" s="2" t="n">
        <v>20.85060684532825</v>
      </c>
      <c r="M58" s="2" t="n">
        <v>0.7618515373640897</v>
      </c>
      <c r="N58" s="2" t="n">
        <v>1.1060519496225985</v>
      </c>
      <c r="O58" s="2" t="n">
        <v>5.198875</v>
      </c>
      <c r="P58" s="2" t="n">
        <v>3.9607709113137326</v>
      </c>
      <c r="Q58" s="2" t="n">
        <v>28.056939</v>
      </c>
      <c r="R58" s="2" t="n">
        <v>16.284745826673184</v>
      </c>
      <c r="S58" s="2" t="n">
        <v>49.87332329963965</v>
      </c>
      <c r="T58" s="2" t="n">
        <v>65.46330991494098</v>
      </c>
      <c r="U58" s="2" t="n">
        <v>0.0005362358251574853</v>
      </c>
      <c r="V58" s="2" t="n">
        <v>6.576237532835636</v>
      </c>
      <c r="W58" s="2" t="n">
        <v>1.1424011329887813e-05</v>
      </c>
      <c r="X58" s="2" t="n">
        <v>439.9196711098076</v>
      </c>
      <c r="Y58" s="2" t="n">
        <v>294.14128803937143</v>
      </c>
      <c r="Z58" s="2" t="n">
        <v>8.767286033994747</v>
      </c>
      <c r="AA58" s="2" t="n">
        <v>336.4364270660546</v>
      </c>
      <c r="AB58" s="2" t="n">
        <v>24.905838988731432</v>
      </c>
      <c r="AC58" s="2" t="n">
        <v>180.30748258916492</v>
      </c>
      <c r="AD58" s="2" t="n">
        <v>0.5037196633781578</v>
      </c>
      <c r="AE58" s="2" t="n">
        <v>349.76711986433423</v>
      </c>
      <c r="AF58" s="2" t="n">
        <v>361.21632439236225</v>
      </c>
      <c r="AG58" s="2" t="n">
        <v>323.0934483880507</v>
      </c>
      <c r="AH58" s="2" t="n">
        <v>38.122876004311536</v>
      </c>
      <c r="AI58" s="2" t="n">
        <v>9.925700968545524</v>
      </c>
      <c r="AJ58" s="2" t="n">
        <v>360.50954639241974</v>
      </c>
      <c r="AK58" s="2" t="n">
        <v>360.7978147445431</v>
      </c>
      <c r="AL58" s="2" t="n">
        <v>361.0924156399067</v>
      </c>
      <c r="AM58" s="2" t="n">
        <v>15037460197.446934</v>
      </c>
      <c r="AN58" s="2" t="n">
        <v>14966350900.425333</v>
      </c>
      <c r="AO58" s="2" t="n">
        <v>350.18184189602675</v>
      </c>
      <c r="AP58" s="2" t="n">
        <v>232.27758634597842</v>
      </c>
      <c r="AQ58" s="2" t="n">
        <v>7.333067129206125</v>
      </c>
      <c r="AR58" s="2" t="n">
        <v>38.20789771601491</v>
      </c>
      <c r="AS58" s="2" t="n">
        <v>6.428932456449274</v>
      </c>
      <c r="AT58" s="2" t="n">
        <v>2.2025231518905333</v>
      </c>
      <c r="AU58" s="2" t="n">
        <v>306.974878776424</v>
      </c>
      <c r="AV58" s="2" t="n">
        <v>260.3388646088796</v>
      </c>
      <c r="AW58" s="2" t="n">
        <v>8.865464865113445e-05</v>
      </c>
      <c r="AX58" s="2" t="n">
        <v>972</v>
      </c>
      <c r="AY58" s="2" t="n">
        <v>9.98280199837609e-07</v>
      </c>
      <c r="AZ58" s="2" t="s">
        <v>131</v>
      </c>
      <c r="BA58" s="2" t="n">
        <v>4.48</v>
      </c>
      <c r="BB58" s="2" t="s">
        <v>132</v>
      </c>
      <c r="BC58" s="2" t="n">
        <v>4</v>
      </c>
      <c r="BD58" s="2" t="s">
        <v>133</v>
      </c>
      <c r="BE58" s="2" t="n">
        <v>3000</v>
      </c>
      <c r="BF58" s="2" t="s">
        <v>134</v>
      </c>
      <c r="BG58" s="2" t="n">
        <v>120</v>
      </c>
    </row>
    <row r="59" customFormat="false" ht="15" hidden="false" customHeight="false" outlineLevel="0" collapsed="false">
      <c r="A59" s="2" t="s">
        <v>191</v>
      </c>
      <c r="B59" s="2" t="s">
        <v>128</v>
      </c>
      <c r="C59" s="2" t="s">
        <v>129</v>
      </c>
      <c r="D59" s="2" t="s">
        <v>130</v>
      </c>
      <c r="E59" s="2" t="n">
        <v>1</v>
      </c>
      <c r="F59" s="2" t="n">
        <v>633.8700490007586</v>
      </c>
      <c r="G59" s="2" t="n">
        <v>315.40324526932875</v>
      </c>
      <c r="H59" s="2" t="n">
        <v>288.52614251986074</v>
      </c>
      <c r="I59" s="2" t="n">
        <v>0.7344947086683111</v>
      </c>
      <c r="J59" s="2" t="n">
        <v>0.004257045613849879</v>
      </c>
      <c r="K59" s="2" t="n">
        <v>0.0003547538011541566</v>
      </c>
      <c r="L59" s="2" t="n">
        <v>31.531133416626087</v>
      </c>
      <c r="M59" s="2" t="n">
        <v>0.5672023291729881</v>
      </c>
      <c r="N59" s="2" t="n">
        <v>1.6340532253338138</v>
      </c>
      <c r="O59" s="2" t="n">
        <v>5.198875</v>
      </c>
      <c r="P59" s="2" t="n">
        <v>2.9488140090792183</v>
      </c>
      <c r="Q59" s="2" t="n">
        <v>28.056939</v>
      </c>
      <c r="R59" s="2" t="n">
        <v>9.026435830798437</v>
      </c>
      <c r="S59" s="2" t="n">
        <v>114.88567985555659</v>
      </c>
      <c r="T59" s="2" t="n">
        <v>202.54796912252849</v>
      </c>
      <c r="U59" s="2" t="n">
        <v>0.0005721768026963811</v>
      </c>
      <c r="V59" s="2" t="n">
        <v>27.405186738086535</v>
      </c>
      <c r="W59" s="2" t="n">
        <v>0.0001170161785357153</v>
      </c>
      <c r="X59" s="2" t="n">
        <v>411.3227118869352</v>
      </c>
      <c r="Y59" s="2" t="n">
        <v>270.5308716972988</v>
      </c>
      <c r="Z59" s="2" t="n">
        <v>8.491079892939583</v>
      </c>
      <c r="AA59" s="2" t="n">
        <v>325.0847633414968</v>
      </c>
      <c r="AB59" s="2" t="n">
        <v>9.681518072168046</v>
      </c>
      <c r="AC59" s="2" t="n">
        <v>172.27729570614093</v>
      </c>
      <c r="AD59" s="2" t="n">
        <v>0.5147470803101724</v>
      </c>
      <c r="AE59" s="2" t="n">
        <v>326.46456473132207</v>
      </c>
      <c r="AF59" s="2" t="n">
        <v>329.0904154690513</v>
      </c>
      <c r="AG59" s="2" t="n">
        <v>319.7524138928665</v>
      </c>
      <c r="AH59" s="2" t="n">
        <v>9.338001576184809</v>
      </c>
      <c r="AI59" s="2" t="n">
        <v>2.2049674124564675</v>
      </c>
      <c r="AJ59" s="2" t="n">
        <v>328.83167498470397</v>
      </c>
      <c r="AK59" s="2" t="n">
        <v>328.9328684384918</v>
      </c>
      <c r="AL59" s="2" t="n">
        <v>329.0374090638748</v>
      </c>
      <c r="AM59" s="2" t="n">
        <v>11362202842.519125</v>
      </c>
      <c r="AN59" s="2" t="n">
        <v>11359107120.0826</v>
      </c>
      <c r="AO59" s="2" t="n">
        <v>326.4868054848459</v>
      </c>
      <c r="AP59" s="2" t="n">
        <v>217.17839187630182</v>
      </c>
      <c r="AQ59" s="2" t="n">
        <v>5.311898687305875</v>
      </c>
      <c r="AR59" s="2" t="n">
        <v>34.131580692358504</v>
      </c>
      <c r="AS59" s="2" t="n">
        <v>5.457816743181105</v>
      </c>
      <c r="AT59" s="2" t="n">
        <v>2.2415258703625827</v>
      </c>
      <c r="AU59" s="2" t="n">
        <v>288.2377342326982</v>
      </c>
      <c r="AV59" s="2" t="n">
        <v>133.99199649754354</v>
      </c>
      <c r="AW59" s="2" t="n">
        <v>-9.492969177598669e-05</v>
      </c>
      <c r="AX59" s="2" t="n">
        <v>250</v>
      </c>
      <c r="AY59" s="2" t="n">
        <v>9.666980531619629e-07</v>
      </c>
      <c r="AZ59" s="2" t="s">
        <v>131</v>
      </c>
      <c r="BA59" s="2" t="n">
        <v>4.48</v>
      </c>
      <c r="BB59" s="2" t="s">
        <v>132</v>
      </c>
      <c r="BC59" s="2" t="n">
        <v>4</v>
      </c>
      <c r="BD59" s="2" t="s">
        <v>133</v>
      </c>
      <c r="BE59" s="2" t="n">
        <v>3000</v>
      </c>
      <c r="BF59" s="2" t="s">
        <v>134</v>
      </c>
      <c r="BG59" s="2" t="n">
        <v>120</v>
      </c>
    </row>
    <row r="60" customFormat="false" ht="15" hidden="false" customHeight="false" outlineLevel="0" collapsed="false">
      <c r="A60" s="2" t="s">
        <v>192</v>
      </c>
      <c r="B60" s="2" t="s">
        <v>128</v>
      </c>
      <c r="C60" s="2" t="s">
        <v>129</v>
      </c>
      <c r="D60" s="2" t="s">
        <v>130</v>
      </c>
      <c r="E60" s="2" t="n">
        <v>1</v>
      </c>
      <c r="F60" s="2" t="n">
        <v>562.337144877923</v>
      </c>
      <c r="G60" s="2" t="n">
        <v>323.31638293466455</v>
      </c>
      <c r="H60" s="2" t="n">
        <v>284.4093689770492</v>
      </c>
      <c r="I60" s="2" t="n">
        <v>0.17557027937310882</v>
      </c>
      <c r="J60" s="2" t="n">
        <v>0.004097883779426829</v>
      </c>
      <c r="K60" s="2" t="n">
        <v>0.00034149031495223574</v>
      </c>
      <c r="L60" s="2" t="n">
        <v>28.831023649637554</v>
      </c>
      <c r="M60" s="2" t="n">
        <v>0.8932065063084175</v>
      </c>
      <c r="N60" s="2" t="n">
        <v>1.5082713588898202</v>
      </c>
      <c r="O60" s="2" t="n">
        <v>5.198875</v>
      </c>
      <c r="P60" s="2" t="n">
        <v>4.643668975484174</v>
      </c>
      <c r="Q60" s="2" t="n">
        <v>28.056939</v>
      </c>
      <c r="R60" s="2" t="n">
        <v>22.38432711282362</v>
      </c>
      <c r="S60" s="2" t="n">
        <v>124.62427705628214</v>
      </c>
      <c r="T60" s="2" t="n">
        <v>139.52459613326005</v>
      </c>
      <c r="U60" s="2" t="n">
        <v>0.0005077440311672581</v>
      </c>
      <c r="V60" s="2" t="n">
        <v>10.301994610932088</v>
      </c>
      <c r="W60" s="2" t="n">
        <v>4.234340683237834e-05</v>
      </c>
      <c r="X60" s="2" t="n">
        <v>364.90450967129834</v>
      </c>
      <c r="Y60" s="2" t="n">
        <v>264.7615566784233</v>
      </c>
      <c r="Z60" s="2" t="n">
        <v>6.367167061617813</v>
      </c>
      <c r="AA60" s="2" t="n">
        <v>331.3104077880325</v>
      </c>
      <c r="AB60" s="2" t="n">
        <v>7.994024853367932</v>
      </c>
      <c r="AC60" s="2" t="n">
        <v>136.93088437601676</v>
      </c>
      <c r="AD60" s="2" t="n">
        <v>0.46118026975258386</v>
      </c>
      <c r="AE60" s="2" t="n">
        <v>332.60824668880934</v>
      </c>
      <c r="AF60" s="2" t="n">
        <v>334.91008533906773</v>
      </c>
      <c r="AG60" s="2" t="n">
        <v>326.83820056408945</v>
      </c>
      <c r="AH60" s="2" t="n">
        <v>8.071884774978287</v>
      </c>
      <c r="AI60" s="2" t="n">
        <v>1.9265913119193643</v>
      </c>
      <c r="AJ60" s="2" t="n">
        <v>334.67883691771976</v>
      </c>
      <c r="AK60" s="2" t="n">
        <v>334.7716421684302</v>
      </c>
      <c r="AL60" s="2" t="n">
        <v>334.86513673061506</v>
      </c>
      <c r="AM60" s="2" t="n">
        <v>12241062654.18746</v>
      </c>
      <c r="AN60" s="2" t="n">
        <v>12238608761.130596</v>
      </c>
      <c r="AO60" s="2" t="n">
        <v>332.62491777704525</v>
      </c>
      <c r="AP60" s="2" t="n">
        <v>192.66958110644552</v>
      </c>
      <c r="AQ60" s="2" t="n">
        <v>6.67511366875949</v>
      </c>
      <c r="AR60" s="2" t="n">
        <v>42.129911233431216</v>
      </c>
      <c r="AS60" s="2" t="n">
        <v>6.933884606785562</v>
      </c>
      <c r="AT60" s="2" t="n">
        <v>2.190211028063891</v>
      </c>
      <c r="AU60" s="2" t="n">
        <v>285.42341249790377</v>
      </c>
      <c r="AV60" s="2" t="n">
        <v>112.39383201241142</v>
      </c>
      <c r="AW60" s="2" t="n">
        <v>-0.00011060796709087893</v>
      </c>
      <c r="AX60" s="2" t="n">
        <v>298</v>
      </c>
      <c r="AY60" s="2" t="n">
        <v>9.997419851970335e-07</v>
      </c>
      <c r="AZ60" s="2" t="s">
        <v>131</v>
      </c>
      <c r="BA60" s="2" t="n">
        <v>4.48</v>
      </c>
      <c r="BB60" s="2" t="s">
        <v>132</v>
      </c>
      <c r="BC60" s="2" t="n">
        <v>4</v>
      </c>
      <c r="BD60" s="2" t="s">
        <v>133</v>
      </c>
      <c r="BE60" s="2" t="n">
        <v>3000</v>
      </c>
      <c r="BF60" s="2" t="s">
        <v>134</v>
      </c>
      <c r="BG60" s="2" t="n">
        <v>120</v>
      </c>
    </row>
    <row r="61" customFormat="false" ht="15" hidden="false" customHeight="false" outlineLevel="0" collapsed="false">
      <c r="A61" s="2" t="s">
        <v>193</v>
      </c>
      <c r="B61" s="2" t="s">
        <v>128</v>
      </c>
      <c r="C61" s="2" t="s">
        <v>129</v>
      </c>
      <c r="D61" s="2" t="s">
        <v>130</v>
      </c>
      <c r="E61" s="2" t="n">
        <v>1</v>
      </c>
      <c r="F61" s="2" t="n">
        <v>866.4153144402918</v>
      </c>
      <c r="G61" s="2" t="n">
        <v>321.8615883547729</v>
      </c>
      <c r="H61" s="2" t="n">
        <v>297.8475357131905</v>
      </c>
      <c r="I61" s="2" t="n">
        <v>4.219494113433405</v>
      </c>
      <c r="J61" s="2" t="n">
        <v>0.003937573230343683</v>
      </c>
      <c r="K61" s="2" t="n">
        <v>0.00032813110252864026</v>
      </c>
      <c r="L61" s="2" t="n">
        <v>23.207920976211668</v>
      </c>
      <c r="M61" s="2" t="n">
        <v>0.7897338902079141</v>
      </c>
      <c r="N61" s="2" t="n">
        <v>0.7987063061793274</v>
      </c>
      <c r="O61" s="2" t="n">
        <v>5.198875</v>
      </c>
      <c r="P61" s="2" t="n">
        <v>4.1057277784546695</v>
      </c>
      <c r="Q61" s="2" t="n">
        <v>28.056939</v>
      </c>
      <c r="R61" s="2" t="n">
        <v>17.498540979333807</v>
      </c>
      <c r="S61" s="2" t="n">
        <v>123.8055587729254</v>
      </c>
      <c r="T61" s="2" t="n">
        <v>156.76870438006785</v>
      </c>
      <c r="U61" s="2" t="n">
        <v>0.0004911072446562095</v>
      </c>
      <c r="V61" s="2" t="n">
        <v>13.64077763034652</v>
      </c>
      <c r="W61" s="2" t="n">
        <v>5.387318037946178e-05</v>
      </c>
      <c r="X61" s="2" t="n">
        <v>562.2229624475063</v>
      </c>
      <c r="Y61" s="2" t="n">
        <v>283.7462264880199</v>
      </c>
      <c r="Z61" s="2" t="n">
        <v>21.734077631046937</v>
      </c>
      <c r="AA61" s="2" t="n">
        <v>336.9043296644073</v>
      </c>
      <c r="AB61" s="2" t="n">
        <v>15.042741309634437</v>
      </c>
      <c r="AC61" s="2" t="n">
        <v>247.5893231557308</v>
      </c>
      <c r="AD61" s="2" t="n">
        <v>0.5412175487068271</v>
      </c>
      <c r="AE61" s="2" t="n">
        <v>339.5808487968827</v>
      </c>
      <c r="AF61" s="2" t="n">
        <v>344.0767330801348</v>
      </c>
      <c r="AG61" s="2" t="n">
        <v>328.3317468360606</v>
      </c>
      <c r="AH61" s="2" t="n">
        <v>15.744986244074198</v>
      </c>
      <c r="AI61" s="2" t="n">
        <v>3.751754104317402</v>
      </c>
      <c r="AJ61" s="2" t="n">
        <v>343.6079899784488</v>
      </c>
      <c r="AK61" s="2" t="n">
        <v>343.8027417264938</v>
      </c>
      <c r="AL61" s="2" t="n">
        <v>343.98930575130345</v>
      </c>
      <c r="AM61" s="2" t="n">
        <v>13307259758.992163</v>
      </c>
      <c r="AN61" s="2" t="n">
        <v>13297584481.34183</v>
      </c>
      <c r="AO61" s="2" t="n">
        <v>339.6426014205751</v>
      </c>
      <c r="AP61" s="2" t="n">
        <v>296.85372417228336</v>
      </c>
      <c r="AQ61" s="2" t="n">
        <v>6.416966878817851</v>
      </c>
      <c r="AR61" s="2" t="n">
        <v>36.843483818992084</v>
      </c>
      <c r="AS61" s="2" t="n">
        <v>6.003749276315</v>
      </c>
      <c r="AT61" s="2" t="n">
        <v>2.2357148979992285</v>
      </c>
      <c r="AU61" s="2" t="n">
        <v>298.3167296919996</v>
      </c>
      <c r="AV61" s="2" t="n">
        <v>210.92951671910177</v>
      </c>
      <c r="AW61" s="2" t="n">
        <v>6.967103454905363e-05</v>
      </c>
      <c r="AX61" s="2" t="n">
        <v>341</v>
      </c>
      <c r="AY61" s="2" t="n">
        <v>9.703764476398646e-07</v>
      </c>
      <c r="AZ61" s="2" t="s">
        <v>131</v>
      </c>
      <c r="BA61" s="2" t="n">
        <v>4.48</v>
      </c>
      <c r="BB61" s="2" t="s">
        <v>132</v>
      </c>
      <c r="BC61" s="2" t="n">
        <v>4</v>
      </c>
      <c r="BD61" s="2" t="s">
        <v>133</v>
      </c>
      <c r="BE61" s="2" t="n">
        <v>3000</v>
      </c>
      <c r="BF61" s="2" t="s">
        <v>134</v>
      </c>
      <c r="BG61" s="2" t="n">
        <v>120</v>
      </c>
    </row>
    <row r="62" customFormat="false" ht="15" hidden="false" customHeight="false" outlineLevel="0" collapsed="false">
      <c r="A62" s="2" t="s">
        <v>194</v>
      </c>
      <c r="B62" s="2" t="s">
        <v>128</v>
      </c>
      <c r="C62" s="2" t="s">
        <v>129</v>
      </c>
      <c r="D62" s="2" t="s">
        <v>130</v>
      </c>
      <c r="E62" s="2" t="n">
        <v>1</v>
      </c>
      <c r="F62" s="2" t="n">
        <v>704.0813911518162</v>
      </c>
      <c r="G62" s="2" t="n">
        <v>316.47674272813026</v>
      </c>
      <c r="H62" s="2" t="n">
        <v>301.47067969121514</v>
      </c>
      <c r="I62" s="2" t="n">
        <v>4.92479675835873</v>
      </c>
      <c r="J62" s="2" t="n">
        <v>0.0029392442569768805</v>
      </c>
      <c r="K62" s="2" t="n">
        <v>0.00024493702141474</v>
      </c>
      <c r="L62" s="2" t="n">
        <v>22.683773826630386</v>
      </c>
      <c r="M62" s="2" t="n">
        <v>0.6026525476077063</v>
      </c>
      <c r="N62" s="2" t="n">
        <v>1.3273039890729785</v>
      </c>
      <c r="O62" s="2" t="n">
        <v>5.198875</v>
      </c>
      <c r="P62" s="2" t="n">
        <v>3.1331152634440143</v>
      </c>
      <c r="Q62" s="2" t="n">
        <v>28.056939</v>
      </c>
      <c r="R62" s="2" t="n">
        <v>10.19000228857883</v>
      </c>
      <c r="S62" s="2" t="n">
        <v>85.42197125031434</v>
      </c>
      <c r="T62" s="2" t="n">
        <v>141.7433172553671</v>
      </c>
      <c r="U62" s="2" t="n">
        <v>0.0005313172676630558</v>
      </c>
      <c r="V62" s="2" t="n">
        <v>17.021019219521865</v>
      </c>
      <c r="W62" s="2" t="n">
        <v>5.017947140308199e-05</v>
      </c>
      <c r="X62" s="2" t="n">
        <v>456.8833432881515</v>
      </c>
      <c r="Y62" s="2" t="n">
        <v>288.93935427014634</v>
      </c>
      <c r="Z62" s="2" t="n">
        <v>24.414227681763172</v>
      </c>
      <c r="AA62" s="2" t="n">
        <v>332.63865532715863</v>
      </c>
      <c r="AB62" s="2" t="n">
        <v>16.16191259902837</v>
      </c>
      <c r="AC62" s="2" t="n">
        <v>198.56592073574785</v>
      </c>
      <c r="AD62" s="2" t="n">
        <v>0.5341311733293491</v>
      </c>
      <c r="AE62" s="2" t="n">
        <v>337.42440644481053</v>
      </c>
      <c r="AF62" s="2" t="n">
        <v>343.2775074383529</v>
      </c>
      <c r="AG62" s="2" t="n">
        <v>323.42369674896077</v>
      </c>
      <c r="AH62" s="2" t="n">
        <v>19.853810689392162</v>
      </c>
      <c r="AI62" s="2" t="n">
        <v>4.93760869397757</v>
      </c>
      <c r="AJ62" s="2" t="n">
        <v>342.7417686020427</v>
      </c>
      <c r="AK62" s="2" t="n">
        <v>342.9665922018538</v>
      </c>
      <c r="AL62" s="2" t="n">
        <v>343.17830816375385</v>
      </c>
      <c r="AM62" s="2" t="n">
        <v>12979519221.901333</v>
      </c>
      <c r="AN62" s="2" t="n">
        <v>12963013413.07044</v>
      </c>
      <c r="AO62" s="2" t="n">
        <v>337.53176584486533</v>
      </c>
      <c r="AP62" s="2" t="n">
        <v>241.234405256144</v>
      </c>
      <c r="AQ62" s="2" t="n">
        <v>5.592263820549558</v>
      </c>
      <c r="AR62" s="2" t="n">
        <v>31.90372098586432</v>
      </c>
      <c r="AS62" s="2" t="n">
        <v>5.172298699239248</v>
      </c>
      <c r="AT62" s="2" t="n">
        <v>2.247653609504897</v>
      </c>
      <c r="AU62" s="2" t="n">
        <v>301.69274357825367</v>
      </c>
      <c r="AV62" s="2" t="n">
        <v>211.3581744596301</v>
      </c>
      <c r="AW62" s="2" t="n">
        <v>8.377063954483291e-05</v>
      </c>
      <c r="AX62" s="2" t="n">
        <v>498</v>
      </c>
      <c r="AY62" s="2" t="n">
        <v>9.743664008965425e-07</v>
      </c>
      <c r="AZ62" s="2" t="s">
        <v>131</v>
      </c>
      <c r="BA62" s="2" t="n">
        <v>4.48</v>
      </c>
      <c r="BB62" s="2" t="s">
        <v>132</v>
      </c>
      <c r="BC62" s="2" t="n">
        <v>4</v>
      </c>
      <c r="BD62" s="2" t="s">
        <v>133</v>
      </c>
      <c r="BE62" s="2" t="n">
        <v>3000</v>
      </c>
      <c r="BF62" s="2" t="s">
        <v>134</v>
      </c>
      <c r="BG62" s="2" t="n">
        <v>120</v>
      </c>
    </row>
    <row r="63" customFormat="false" ht="15" hidden="false" customHeight="false" outlineLevel="0" collapsed="false">
      <c r="A63" s="2" t="s">
        <v>195</v>
      </c>
      <c r="B63" s="2" t="s">
        <v>128</v>
      </c>
      <c r="C63" s="2" t="s">
        <v>129</v>
      </c>
      <c r="D63" s="2" t="s">
        <v>130</v>
      </c>
      <c r="E63" s="2" t="n">
        <v>1</v>
      </c>
      <c r="F63" s="2" t="n">
        <v>878.4982171724637</v>
      </c>
      <c r="G63" s="2" t="n">
        <v>323.6474617044083</v>
      </c>
      <c r="H63" s="2" t="n">
        <v>284.90120691856634</v>
      </c>
      <c r="I63" s="2" t="n">
        <v>3.278138147711482</v>
      </c>
      <c r="J63" s="2" t="n">
        <v>0.004174590402578809</v>
      </c>
      <c r="K63" s="2" t="n">
        <v>0.0003478825335482341</v>
      </c>
      <c r="L63" s="2" t="n">
        <v>22.85467638550525</v>
      </c>
      <c r="M63" s="2" t="n">
        <v>0.9858657313038334</v>
      </c>
      <c r="N63" s="2" t="n">
        <v>1.075988089753513</v>
      </c>
      <c r="O63" s="2" t="n">
        <v>5.198875</v>
      </c>
      <c r="P63" s="2" t="n">
        <v>5.125392703832217</v>
      </c>
      <c r="Q63" s="2" t="n">
        <v>28.056939</v>
      </c>
      <c r="R63" s="2" t="n">
        <v>27.2694155173422</v>
      </c>
      <c r="S63" s="2" t="n">
        <v>133.5009862409299</v>
      </c>
      <c r="T63" s="2" t="n">
        <v>135.41497792439884</v>
      </c>
      <c r="U63" s="2" t="n">
        <v>0.00048285556134088</v>
      </c>
      <c r="V63" s="2" t="n">
        <v>8.521276569277756</v>
      </c>
      <c r="W63" s="2" t="n">
        <v>3.5679879020889275e-05</v>
      </c>
      <c r="X63" s="2" t="n">
        <v>570.0636426107318</v>
      </c>
      <c r="Y63" s="2" t="n">
        <v>265.44864407057463</v>
      </c>
      <c r="Z63" s="2" t="n">
        <v>18.15692496130363</v>
      </c>
      <c r="AA63" s="2" t="n">
        <v>337.2623345873906</v>
      </c>
      <c r="AB63" s="2" t="n">
        <v>13.614872882982354</v>
      </c>
      <c r="AC63" s="2" t="n">
        <v>237.57664385904764</v>
      </c>
      <c r="AD63" s="2" t="n">
        <v>0.5121874536442299</v>
      </c>
      <c r="AE63" s="2" t="n">
        <v>339.41435140354747</v>
      </c>
      <c r="AF63" s="2" t="n">
        <v>343.34445814792923</v>
      </c>
      <c r="AG63" s="2" t="n">
        <v>329.4952530108125</v>
      </c>
      <c r="AH63" s="2" t="n">
        <v>13.849205137116712</v>
      </c>
      <c r="AI63" s="2" t="n">
        <v>3.268237163461906</v>
      </c>
      <c r="AJ63" s="2" t="n">
        <v>342.92010043189185</v>
      </c>
      <c r="AK63" s="2" t="n">
        <v>343.0938812160848</v>
      </c>
      <c r="AL63" s="2" t="n">
        <v>343.2603326430384</v>
      </c>
      <c r="AM63" s="2" t="n">
        <v>13278864902.022018</v>
      </c>
      <c r="AN63" s="2" t="n">
        <v>13271524291.092508</v>
      </c>
      <c r="AO63" s="2" t="n">
        <v>339.46127502796173</v>
      </c>
      <c r="AP63" s="2" t="n">
        <v>300.9936032984664</v>
      </c>
      <c r="AQ63" s="2" t="n">
        <v>7.851080149120112</v>
      </c>
      <c r="AR63" s="2" t="n">
        <v>47.723417739263766</v>
      </c>
      <c r="AS63" s="2" t="n">
        <v>7.842254246506265</v>
      </c>
      <c r="AT63" s="2" t="n">
        <v>2.2032828753671088</v>
      </c>
      <c r="AU63" s="2" t="n">
        <v>285.964878401487</v>
      </c>
      <c r="AV63" s="2" t="n">
        <v>193.49723809481299</v>
      </c>
      <c r="AW63" s="2" t="n">
        <v>6.890123338920608e-05</v>
      </c>
      <c r="AX63" s="2" t="n">
        <v>309</v>
      </c>
      <c r="AY63" s="2" t="n">
        <v>9.693756624074013e-07</v>
      </c>
      <c r="AZ63" s="2" t="s">
        <v>131</v>
      </c>
      <c r="BA63" s="2" t="n">
        <v>4.48</v>
      </c>
      <c r="BB63" s="2" t="s">
        <v>132</v>
      </c>
      <c r="BC63" s="2" t="n">
        <v>4</v>
      </c>
      <c r="BD63" s="2" t="s">
        <v>133</v>
      </c>
      <c r="BE63" s="2" t="n">
        <v>3000</v>
      </c>
      <c r="BF63" s="2" t="s">
        <v>134</v>
      </c>
      <c r="BG63" s="2" t="n">
        <v>120</v>
      </c>
    </row>
    <row r="64" customFormat="false" ht="15" hidden="false" customHeight="false" outlineLevel="0" collapsed="false">
      <c r="A64" s="2" t="s">
        <v>196</v>
      </c>
      <c r="B64" s="2" t="s">
        <v>128</v>
      </c>
      <c r="C64" s="2" t="s">
        <v>129</v>
      </c>
      <c r="D64" s="2" t="s">
        <v>130</v>
      </c>
      <c r="E64" s="2" t="n">
        <v>1</v>
      </c>
      <c r="F64" s="2" t="n">
        <v>807.5823423459337</v>
      </c>
      <c r="G64" s="2" t="n">
        <v>297.20401060336997</v>
      </c>
      <c r="H64" s="2" t="n">
        <v>304.791563530537</v>
      </c>
      <c r="I64" s="2" t="n">
        <v>4.136068769747092</v>
      </c>
      <c r="J64" s="2" t="n">
        <v>0.0024771274095797997</v>
      </c>
      <c r="K64" s="2" t="n">
        <v>0.00020642728413164998</v>
      </c>
      <c r="L64" s="2" t="n">
        <v>24.43981940587149</v>
      </c>
      <c r="M64" s="2" t="n">
        <v>0.9651560871735122</v>
      </c>
      <c r="N64" s="2" t="n">
        <v>1.5746752833013855</v>
      </c>
      <c r="O64" s="2" t="n">
        <v>5.198875</v>
      </c>
      <c r="P64" s="2" t="n">
        <v>5.017725852704194</v>
      </c>
      <c r="Q64" s="2" t="n">
        <v>28.056939</v>
      </c>
      <c r="R64" s="2" t="n">
        <v>26.13577580746239</v>
      </c>
      <c r="S64" s="2" t="n">
        <v>54.297559777262855</v>
      </c>
      <c r="T64" s="2" t="n">
        <v>56.25780171606735</v>
      </c>
      <c r="U64" s="2" t="n">
        <v>0.0007044592470954872</v>
      </c>
      <c r="V64" s="2" t="n">
        <v>7.58752585189153</v>
      </c>
      <c r="W64" s="2" t="n">
        <v>1.8851823729805245e-05</v>
      </c>
      <c r="X64" s="2" t="n">
        <v>524.0458350246728</v>
      </c>
      <c r="Y64" s="2" t="n">
        <v>293.72674353710653</v>
      </c>
      <c r="Z64" s="2" t="n">
        <v>21.417061325038947</v>
      </c>
      <c r="AA64" s="2" t="n">
        <v>321.031340228919</v>
      </c>
      <c r="AB64" s="2" t="n">
        <v>23.827329625549055</v>
      </c>
      <c r="AC64" s="2" t="n">
        <v>246.7175248864187</v>
      </c>
      <c r="AD64" s="2" t="n">
        <v>0.5786011098264622</v>
      </c>
      <c r="AE64" s="2" t="n">
        <v>329.6688142345507</v>
      </c>
      <c r="AF64" s="2" t="n">
        <v>339.0168054198799</v>
      </c>
      <c r="AG64" s="2" t="n">
        <v>307.7929845236754</v>
      </c>
      <c r="AH64" s="2" t="n">
        <v>31.22382089620453</v>
      </c>
      <c r="AI64" s="2" t="n">
        <v>7.914978725545067</v>
      </c>
      <c r="AJ64" s="2" t="n">
        <v>338.21162124811826</v>
      </c>
      <c r="AK64" s="2" t="n">
        <v>338.5619866034935</v>
      </c>
      <c r="AL64" s="2" t="n">
        <v>338.8780912654188</v>
      </c>
      <c r="AM64" s="2" t="n">
        <v>11851981928.83616</v>
      </c>
      <c r="AN64" s="2" t="n">
        <v>11811674328.183136</v>
      </c>
      <c r="AO64" s="2" t="n">
        <v>329.9497055695339</v>
      </c>
      <c r="AP64" s="2" t="n">
        <v>276.69620089302725</v>
      </c>
      <c r="AQ64" s="2" t="n">
        <v>3.8833166155936802</v>
      </c>
      <c r="AR64" s="2" t="n">
        <v>22.516319111731868</v>
      </c>
      <c r="AS64" s="2" t="n">
        <v>3.5788382199948607</v>
      </c>
      <c r="AT64" s="2" t="n">
        <v>2.282317935474322</v>
      </c>
      <c r="AU64" s="2" t="n">
        <v>304.45089298164464</v>
      </c>
      <c r="AV64" s="2" t="n">
        <v>290.08789434743034</v>
      </c>
      <c r="AW64" s="2" t="n">
        <v>7.303353705245134e-05</v>
      </c>
      <c r="AX64" s="2" t="n">
        <v>634</v>
      </c>
      <c r="AY64" s="2" t="n">
        <v>9.967461664928123e-07</v>
      </c>
      <c r="AZ64" s="2" t="s">
        <v>131</v>
      </c>
      <c r="BA64" s="2" t="n">
        <v>4.48</v>
      </c>
      <c r="BB64" s="2" t="s">
        <v>132</v>
      </c>
      <c r="BC64" s="2" t="n">
        <v>4</v>
      </c>
      <c r="BD64" s="2" t="s">
        <v>133</v>
      </c>
      <c r="BE64" s="2" t="n">
        <v>3000</v>
      </c>
      <c r="BF64" s="2" t="s">
        <v>134</v>
      </c>
      <c r="BG64" s="2" t="n">
        <v>120</v>
      </c>
    </row>
    <row r="65" customFormat="false" ht="15" hidden="false" customHeight="false" outlineLevel="0" collapsed="false">
      <c r="A65" s="2" t="s">
        <v>197</v>
      </c>
      <c r="B65" s="2" t="s">
        <v>128</v>
      </c>
      <c r="C65" s="2" t="s">
        <v>129</v>
      </c>
      <c r="D65" s="2" t="s">
        <v>130</v>
      </c>
      <c r="E65" s="2" t="n">
        <v>1</v>
      </c>
      <c r="F65" s="2" t="n">
        <v>803.7772489893591</v>
      </c>
      <c r="G65" s="2" t="n">
        <v>317.87736814793766</v>
      </c>
      <c r="H65" s="2" t="n">
        <v>298.31415320241445</v>
      </c>
      <c r="I65" s="2" t="n">
        <v>2.8476205909392056</v>
      </c>
      <c r="J65" s="2" t="n">
        <v>0.004274621709469486</v>
      </c>
      <c r="K65" s="2" t="n">
        <v>0.0003562184757891238</v>
      </c>
      <c r="L65" s="2" t="n">
        <v>35.38701490861975</v>
      </c>
      <c r="M65" s="2" t="n">
        <v>0.8399625099545129</v>
      </c>
      <c r="N65" s="2" t="n">
        <v>0.6214219584771916</v>
      </c>
      <c r="O65" s="2" t="n">
        <v>5.198875</v>
      </c>
      <c r="P65" s="2" t="n">
        <v>4.366860093939769</v>
      </c>
      <c r="Q65" s="2" t="n">
        <v>28.056939</v>
      </c>
      <c r="R65" s="2" t="n">
        <v>19.795209079889638</v>
      </c>
      <c r="S65" s="2" t="n">
        <v>123.96294540807476</v>
      </c>
      <c r="T65" s="2" t="n">
        <v>147.58152172147277</v>
      </c>
      <c r="U65" s="2" t="n">
        <v>0.0005324681582150882</v>
      </c>
      <c r="V65" s="2" t="n">
        <v>14.471066026218207</v>
      </c>
      <c r="W65" s="2" t="n">
        <v>6.204446639402074e-05</v>
      </c>
      <c r="X65" s="2" t="n">
        <v>521.5766833099381</v>
      </c>
      <c r="Y65" s="2" t="n">
        <v>284.41327646288954</v>
      </c>
      <c r="Z65" s="2" t="n">
        <v>16.52095824556898</v>
      </c>
      <c r="AA65" s="2" t="n">
        <v>330.9905585064256</v>
      </c>
      <c r="AB65" s="2" t="n">
        <v>13.113190358487941</v>
      </c>
      <c r="AC65" s="2" t="n">
        <v>234.30541982081772</v>
      </c>
      <c r="AD65" s="2" t="n">
        <v>0.5520935873342062</v>
      </c>
      <c r="AE65" s="2" t="n">
        <v>332.91222824316975</v>
      </c>
      <c r="AF65" s="2" t="n">
        <v>336.48992846207125</v>
      </c>
      <c r="AG65" s="2" t="n">
        <v>323.89001274909566</v>
      </c>
      <c r="AH65" s="2" t="n">
        <v>12.599915712975587</v>
      </c>
      <c r="AI65" s="2" t="n">
        <v>3.0111563015674743</v>
      </c>
      <c r="AJ65" s="2" t="n">
        <v>336.1450656530352</v>
      </c>
      <c r="AK65" s="2" t="n">
        <v>336.2808294146814</v>
      </c>
      <c r="AL65" s="2" t="n">
        <v>336.4202159195198</v>
      </c>
      <c r="AM65" s="2" t="n">
        <v>12289408606.530003</v>
      </c>
      <c r="AN65" s="2" t="n">
        <v>12283411193.19246</v>
      </c>
      <c r="AO65" s="2" t="n">
        <v>332.9528571601101</v>
      </c>
      <c r="AP65" s="2" t="n">
        <v>275.3924887876473</v>
      </c>
      <c r="AQ65" s="2" t="n">
        <v>5.2065680882897265</v>
      </c>
      <c r="AR65" s="2" t="n">
        <v>30.90301984928051</v>
      </c>
      <c r="AS65" s="2" t="n">
        <v>4.977274810923064</v>
      </c>
      <c r="AT65" s="2" t="n">
        <v>2.2491545673023294</v>
      </c>
      <c r="AU65" s="2" t="n">
        <v>298.30133482098097</v>
      </c>
      <c r="AV65" s="2" t="n">
        <v>184.29867617242556</v>
      </c>
      <c r="AW65" s="2" t="n">
        <v>7.550262860033544e-05</v>
      </c>
      <c r="AX65" s="2" t="n">
        <v>291</v>
      </c>
      <c r="AY65" s="2" t="n">
        <v>9.6436247076781e-07</v>
      </c>
      <c r="AZ65" s="2" t="s">
        <v>131</v>
      </c>
      <c r="BA65" s="2" t="n">
        <v>4.48</v>
      </c>
      <c r="BB65" s="2" t="s">
        <v>132</v>
      </c>
      <c r="BC65" s="2" t="n">
        <v>4</v>
      </c>
      <c r="BD65" s="2" t="s">
        <v>133</v>
      </c>
      <c r="BE65" s="2" t="n">
        <v>3000</v>
      </c>
      <c r="BF65" s="2" t="s">
        <v>134</v>
      </c>
      <c r="BG65" s="2" t="n">
        <v>120</v>
      </c>
    </row>
    <row r="66" customFormat="false" ht="15" hidden="false" customHeight="false" outlineLevel="0" collapsed="false">
      <c r="A66" s="2" t="s">
        <v>198</v>
      </c>
      <c r="B66" s="2" t="s">
        <v>128</v>
      </c>
      <c r="C66" s="2" t="s">
        <v>129</v>
      </c>
      <c r="D66" s="2" t="s">
        <v>130</v>
      </c>
      <c r="E66" s="2" t="n">
        <v>1</v>
      </c>
      <c r="F66" s="2" t="n">
        <v>948.2689122006215</v>
      </c>
      <c r="G66" s="2" t="n">
        <v>331.2788464917761</v>
      </c>
      <c r="H66" s="2" t="n">
        <v>308.00678466228857</v>
      </c>
      <c r="I66" s="2" t="n">
        <v>1.7572985008909228</v>
      </c>
      <c r="J66" s="2" t="n">
        <v>0.0013705039669492406</v>
      </c>
      <c r="K66" s="2" t="n">
        <v>0.00011420866391243672</v>
      </c>
      <c r="L66" s="2" t="n">
        <v>34.07600369999834</v>
      </c>
      <c r="M66" s="2" t="n">
        <v>0.7466580612285383</v>
      </c>
      <c r="N66" s="2" t="n">
        <v>0.7369690454449611</v>
      </c>
      <c r="O66" s="2" t="n">
        <v>5.198875</v>
      </c>
      <c r="P66" s="2" t="n">
        <v>3.8817819280695174</v>
      </c>
      <c r="Q66" s="2" t="n">
        <v>28.056939</v>
      </c>
      <c r="R66" s="2" t="n">
        <v>15.641694684580447</v>
      </c>
      <c r="S66" s="2" t="n">
        <v>58.5634099070669</v>
      </c>
      <c r="T66" s="2" t="n">
        <v>78.43404223173813</v>
      </c>
      <c r="U66" s="2" t="n">
        <v>0.00036136141864461543</v>
      </c>
      <c r="V66" s="2" t="n">
        <v>4.071729496589031</v>
      </c>
      <c r="W66" s="2" t="n">
        <v>5.597112765716651e-06</v>
      </c>
      <c r="X66" s="2" t="n">
        <v>615.3383350093685</v>
      </c>
      <c r="Y66" s="2" t="n">
        <v>298.3867281358114</v>
      </c>
      <c r="Z66" s="2" t="n">
        <v>12.377734303385505</v>
      </c>
      <c r="AA66" s="2" t="n">
        <v>370.2798178712609</v>
      </c>
      <c r="AB66" s="2" t="n">
        <v>39.00097137948478</v>
      </c>
      <c r="AC66" s="2" t="n">
        <v>223.42512144011314</v>
      </c>
      <c r="AD66" s="2" t="n">
        <v>0.44623801713495215</v>
      </c>
      <c r="AE66" s="2" t="n">
        <v>394.4050515311776</v>
      </c>
      <c r="AF66" s="2" t="n">
        <v>412.63130087884724</v>
      </c>
      <c r="AG66" s="2" t="n">
        <v>351.29429280200634</v>
      </c>
      <c r="AH66" s="2" t="n">
        <v>61.3370080768409</v>
      </c>
      <c r="AI66" s="2" t="n">
        <v>16.177062936672606</v>
      </c>
      <c r="AJ66" s="2" t="n">
        <v>411.85426905482694</v>
      </c>
      <c r="AK66" s="2" t="n">
        <v>412.2288557085639</v>
      </c>
      <c r="AL66" s="2" t="n">
        <v>412.51159896394</v>
      </c>
      <c r="AM66" s="2" t="n">
        <v>24436245807.91451</v>
      </c>
      <c r="AN66" s="2" t="n">
        <v>24197465256.43254</v>
      </c>
      <c r="AO66" s="2" t="n">
        <v>395.37446865919804</v>
      </c>
      <c r="AP66" s="2" t="n">
        <v>324.8986408849466</v>
      </c>
      <c r="AQ66" s="2" t="n">
        <v>17.486170481989507</v>
      </c>
      <c r="AR66" s="2" t="n">
        <v>71.55789478886291</v>
      </c>
      <c r="AS66" s="2" t="n">
        <v>12.429244022604495</v>
      </c>
      <c r="AT66" s="2" t="n">
        <v>2.2244045266543244</v>
      </c>
      <c r="AU66" s="2" t="n">
        <v>314.26134123578385</v>
      </c>
      <c r="AV66" s="2" t="n">
        <v>346.7992593951739</v>
      </c>
      <c r="AW66" s="2" t="n">
        <v>6.47139651350676e-05</v>
      </c>
      <c r="AX66" s="2" t="n">
        <v>1246</v>
      </c>
      <c r="AY66" s="2" t="n">
        <v>9.930962505677599e-07</v>
      </c>
      <c r="AZ66" s="2" t="s">
        <v>131</v>
      </c>
      <c r="BA66" s="2" t="n">
        <v>4.48</v>
      </c>
      <c r="BB66" s="2" t="s">
        <v>132</v>
      </c>
      <c r="BC66" s="2" t="n">
        <v>4</v>
      </c>
      <c r="BD66" s="2" t="s">
        <v>133</v>
      </c>
      <c r="BE66" s="2" t="n">
        <v>3000</v>
      </c>
      <c r="BF66" s="2" t="s">
        <v>134</v>
      </c>
      <c r="BG66" s="2" t="n">
        <v>120</v>
      </c>
    </row>
    <row r="67" customFormat="false" ht="15" hidden="false" customHeight="false" outlineLevel="0" collapsed="false">
      <c r="A67" s="2" t="s">
        <v>199</v>
      </c>
      <c r="B67" s="2" t="s">
        <v>128</v>
      </c>
      <c r="C67" s="2" t="s">
        <v>129</v>
      </c>
      <c r="D67" s="2" t="s">
        <v>130</v>
      </c>
      <c r="E67" s="2" t="n">
        <v>1</v>
      </c>
      <c r="F67" s="2" t="n">
        <v>963.4240487094532</v>
      </c>
      <c r="G67" s="2" t="n">
        <v>300.9633121512385</v>
      </c>
      <c r="H67" s="2" t="n">
        <v>309.2254595924308</v>
      </c>
      <c r="I67" s="2" t="n">
        <v>4.113453040920692</v>
      </c>
      <c r="J67" s="2" t="n">
        <v>0.0023399517880437794</v>
      </c>
      <c r="K67" s="2" t="n">
        <v>0.00019499598233698161</v>
      </c>
      <c r="L67" s="2" t="n">
        <v>26.873088552622875</v>
      </c>
      <c r="M67" s="2" t="n">
        <v>0.9554797785356102</v>
      </c>
      <c r="N67" s="2" t="n">
        <v>0.5122552021293847</v>
      </c>
      <c r="O67" s="2" t="n">
        <v>5.198875</v>
      </c>
      <c r="P67" s="2" t="n">
        <v>4.9674199336343206</v>
      </c>
      <c r="Q67" s="2" t="n">
        <v>28.056939</v>
      </c>
      <c r="R67" s="2" t="n">
        <v>25.614346983504657</v>
      </c>
      <c r="S67" s="2" t="n">
        <v>58.332564904656955</v>
      </c>
      <c r="T67" s="2" t="n">
        <v>61.05054886044661</v>
      </c>
      <c r="U67" s="2" t="n">
        <v>0.0006194177951600832</v>
      </c>
      <c r="V67" s="2" t="n">
        <v>6.725339287871025</v>
      </c>
      <c r="W67" s="2" t="n">
        <v>1.5784322659834384e-05</v>
      </c>
      <c r="X67" s="2" t="n">
        <v>625.172609175905</v>
      </c>
      <c r="Y67" s="2" t="n">
        <v>300.15939631307253</v>
      </c>
      <c r="Z67" s="2" t="n">
        <v>21.33112155549863</v>
      </c>
      <c r="AA67" s="2" t="n">
        <v>330.668523796796</v>
      </c>
      <c r="AB67" s="2" t="n">
        <v>29.70521164555754</v>
      </c>
      <c r="AC67" s="2" t="n">
        <v>290.5466297757285</v>
      </c>
      <c r="AD67" s="2" t="n">
        <v>0.5711687482222357</v>
      </c>
      <c r="AE67" s="2" t="n">
        <v>342.5122229048376</v>
      </c>
      <c r="AF67" s="2" t="n">
        <v>354.6100322621224</v>
      </c>
      <c r="AG67" s="2" t="n">
        <v>314.4178946463601</v>
      </c>
      <c r="AH67" s="2" t="n">
        <v>40.192137615762306</v>
      </c>
      <c r="AI67" s="2" t="n">
        <v>10.308063544434773</v>
      </c>
      <c r="AJ67" s="2" t="n">
        <v>353.6600830606361</v>
      </c>
      <c r="AK67" s="2" t="n">
        <v>354.0640209298277</v>
      </c>
      <c r="AL67" s="2" t="n">
        <v>354.4410913323448</v>
      </c>
      <c r="AM67" s="2" t="n">
        <v>13836314226.685284</v>
      </c>
      <c r="AN67" s="2" t="n">
        <v>13762720731.906832</v>
      </c>
      <c r="AO67" s="2" t="n">
        <v>342.9691871133457</v>
      </c>
      <c r="AP67" s="2" t="n">
        <v>330.09113764487785</v>
      </c>
      <c r="AQ67" s="2" t="n">
        <v>5.513738196369383</v>
      </c>
      <c r="AR67" s="2" t="n">
        <v>29.24193460293878</v>
      </c>
      <c r="AS67" s="2" t="n">
        <v>4.78862966731064</v>
      </c>
      <c r="AT67" s="2" t="n">
        <v>2.2499905011615593</v>
      </c>
      <c r="AU67" s="2" t="n">
        <v>309.76171868430936</v>
      </c>
      <c r="AV67" s="2" t="n">
        <v>358.56294513787395</v>
      </c>
      <c r="AW67" s="2" t="n">
        <v>6.200689138141295e-05</v>
      </c>
      <c r="AX67" s="2" t="n">
        <v>708</v>
      </c>
      <c r="AY67" s="2" t="n">
        <v>9.942036172105873e-07</v>
      </c>
      <c r="AZ67" s="2" t="s">
        <v>131</v>
      </c>
      <c r="BA67" s="2" t="n">
        <v>4.48</v>
      </c>
      <c r="BB67" s="2" t="s">
        <v>132</v>
      </c>
      <c r="BC67" s="2" t="n">
        <v>4</v>
      </c>
      <c r="BD67" s="2" t="s">
        <v>133</v>
      </c>
      <c r="BE67" s="2" t="n">
        <v>3000</v>
      </c>
      <c r="BF67" s="2" t="s">
        <v>134</v>
      </c>
      <c r="BG67" s="2" t="n">
        <v>120</v>
      </c>
    </row>
    <row r="68" customFormat="false" ht="15" hidden="false" customHeight="false" outlineLevel="0" collapsed="false">
      <c r="A68" s="2" t="s">
        <v>200</v>
      </c>
      <c r="B68" s="2" t="s">
        <v>128</v>
      </c>
      <c r="C68" s="2" t="s">
        <v>129</v>
      </c>
      <c r="D68" s="2" t="s">
        <v>130</v>
      </c>
      <c r="E68" s="2" t="n">
        <v>1</v>
      </c>
      <c r="F68" s="2" t="n">
        <v>431.7773274232726</v>
      </c>
      <c r="G68" s="2" t="n">
        <v>290.61811713720545</v>
      </c>
      <c r="H68" s="2" t="n">
        <v>309.8972067396232</v>
      </c>
      <c r="I68" s="2" t="n">
        <v>1.704638787195056</v>
      </c>
      <c r="J68" s="2" t="n">
        <v>0.0037004467696886145</v>
      </c>
      <c r="K68" s="2" t="n">
        <v>0.0003083705641407179</v>
      </c>
      <c r="L68" s="2" t="n">
        <v>28.992609655636734</v>
      </c>
      <c r="M68" s="2" t="n">
        <v>0.9588171964075473</v>
      </c>
      <c r="N68" s="2" t="n">
        <v>1.5541203962516423</v>
      </c>
      <c r="O68" s="2" t="n">
        <v>5.198875</v>
      </c>
      <c r="P68" s="2" t="n">
        <v>4.984770751973288</v>
      </c>
      <c r="Q68" s="2" t="n">
        <v>28.056939</v>
      </c>
      <c r="R68" s="2" t="n">
        <v>25.793597406115058</v>
      </c>
      <c r="S68" s="2" t="n">
        <v>60.46031237761452</v>
      </c>
      <c r="T68" s="2" t="n">
        <v>63.05718400143895</v>
      </c>
      <c r="U68" s="2" t="n">
        <v>0.0009450866231992952</v>
      </c>
      <c r="V68" s="2" t="n">
        <v>15.374129168776532</v>
      </c>
      <c r="W68" s="2" t="n">
        <v>5.706233362023533e-05</v>
      </c>
      <c r="X68" s="2" t="n">
        <v>280.1833302062535</v>
      </c>
      <c r="Y68" s="2" t="n">
        <v>301.1380059774616</v>
      </c>
      <c r="Z68" s="2" t="n">
        <v>12.177627391341211</v>
      </c>
      <c r="AA68" s="2" t="n">
        <v>300.5409823633281</v>
      </c>
      <c r="AB68" s="2" t="n">
        <v>9.922865226122667</v>
      </c>
      <c r="AC68" s="2" t="n">
        <v>153.48556451121544</v>
      </c>
      <c r="AD68" s="2" t="n">
        <v>0.6732459964111328</v>
      </c>
      <c r="AE68" s="2" t="n">
        <v>302.318538775119</v>
      </c>
      <c r="AF68" s="2" t="n">
        <v>305.23380001305793</v>
      </c>
      <c r="AG68" s="2" t="n">
        <v>295.124691653844</v>
      </c>
      <c r="AH68" s="2" t="n">
        <v>10.109108359213906</v>
      </c>
      <c r="AI68" s="2" t="n">
        <v>2.443589870659476</v>
      </c>
      <c r="AJ68" s="2" t="n">
        <v>304.95147590411705</v>
      </c>
      <c r="AK68" s="2" t="n">
        <v>305.06633865300614</v>
      </c>
      <c r="AL68" s="2" t="n">
        <v>305.18040188657955</v>
      </c>
      <c r="AM68" s="2" t="n">
        <v>8356577697.885494</v>
      </c>
      <c r="AN68" s="2" t="n">
        <v>8353320008.8239</v>
      </c>
      <c r="AO68" s="2" t="n">
        <v>302.34800956629937</v>
      </c>
      <c r="AP68" s="2" t="n">
        <v>147.93679834890187</v>
      </c>
      <c r="AQ68" s="2" t="n">
        <v>-0.5804064700459506</v>
      </c>
      <c r="AR68" s="2" t="n">
        <v>-3.8782865019209707</v>
      </c>
      <c r="AS68" s="2" t="n">
        <v>-1.090266239252971</v>
      </c>
      <c r="AT68" s="2" t="n">
        <v>1.3866588260343604</v>
      </c>
      <c r="AU68" s="2" t="n">
        <v>306.6621583124125</v>
      </c>
      <c r="AV68" s="2" t="n">
        <v>130.62595480822225</v>
      </c>
      <c r="AW68" s="2" t="n">
        <v>0.0001314925582813538</v>
      </c>
      <c r="AX68" s="2" t="n">
        <v>239</v>
      </c>
      <c r="AY68" s="2" t="n">
        <v>9.739205779624172e-07</v>
      </c>
      <c r="AZ68" s="2" t="s">
        <v>131</v>
      </c>
      <c r="BA68" s="2" t="n">
        <v>4.48</v>
      </c>
      <c r="BB68" s="2" t="s">
        <v>132</v>
      </c>
      <c r="BC68" s="2" t="n">
        <v>4</v>
      </c>
      <c r="BD68" s="2" t="s">
        <v>133</v>
      </c>
      <c r="BE68" s="2" t="n">
        <v>3000</v>
      </c>
      <c r="BF68" s="2" t="s">
        <v>134</v>
      </c>
      <c r="BG68" s="2" t="n">
        <v>120</v>
      </c>
    </row>
    <row r="69" customFormat="false" ht="15" hidden="false" customHeight="false" outlineLevel="0" collapsed="false">
      <c r="A69" s="2" t="s">
        <v>201</v>
      </c>
      <c r="B69" s="2" t="s">
        <v>128</v>
      </c>
      <c r="C69" s="2" t="s">
        <v>129</v>
      </c>
      <c r="D69" s="2" t="s">
        <v>130</v>
      </c>
      <c r="E69" s="2" t="n">
        <v>1</v>
      </c>
      <c r="F69" s="2" t="n">
        <v>448.268413193491</v>
      </c>
      <c r="G69" s="2" t="n">
        <v>332.6775322385884</v>
      </c>
      <c r="H69" s="2" t="n">
        <v>308.3979160226597</v>
      </c>
      <c r="I69" s="2" t="n">
        <v>2.0415495746556016</v>
      </c>
      <c r="J69" s="2" t="n">
        <v>0.0018245911123538512</v>
      </c>
      <c r="K69" s="2" t="n">
        <v>0.00015204925936282093</v>
      </c>
      <c r="L69" s="2" t="n">
        <v>32.65295780781436</v>
      </c>
      <c r="M69" s="2" t="n">
        <v>0.720817099169812</v>
      </c>
      <c r="N69" s="2" t="n">
        <v>1.220333952251119</v>
      </c>
      <c r="O69" s="2" t="n">
        <v>5.198875</v>
      </c>
      <c r="P69" s="2" t="n">
        <v>3.747437996446456</v>
      </c>
      <c r="Q69" s="2" t="n">
        <v>28.056939</v>
      </c>
      <c r="R69" s="2" t="n">
        <v>14.57774834409756</v>
      </c>
      <c r="S69" s="2" t="n">
        <v>66.69811516503988</v>
      </c>
      <c r="T69" s="2" t="n">
        <v>92.53126103953169</v>
      </c>
      <c r="U69" s="2" t="n">
        <v>0.0004224154899186441</v>
      </c>
      <c r="V69" s="2" t="n">
        <v>5.958772447003993</v>
      </c>
      <c r="W69" s="2" t="n">
        <v>1.0905038362429784e-05</v>
      </c>
      <c r="X69" s="2" t="n">
        <v>290.8845112001486</v>
      </c>
      <c r="Y69" s="2" t="n">
        <v>298.95528111706636</v>
      </c>
      <c r="Z69" s="2" t="n">
        <v>13.457888383691285</v>
      </c>
      <c r="AA69" s="2" t="n">
        <v>346.0016357823001</v>
      </c>
      <c r="AB69" s="2" t="n">
        <v>13.324103543711715</v>
      </c>
      <c r="AC69" s="2" t="n">
        <v>101.62015098682438</v>
      </c>
      <c r="AD69" s="2" t="n">
        <v>0.42934635032814855</v>
      </c>
      <c r="AE69" s="2" t="n">
        <v>352.817496937717</v>
      </c>
      <c r="AF69" s="2" t="n">
        <v>358.7350344554854</v>
      </c>
      <c r="AG69" s="2" t="n">
        <v>338.9321711637092</v>
      </c>
      <c r="AH69" s="2" t="n">
        <v>19.80286329177619</v>
      </c>
      <c r="AI69" s="2" t="n">
        <v>5.156662391683372</v>
      </c>
      <c r="AJ69" s="2" t="n">
        <v>358.40341667515474</v>
      </c>
      <c r="AK69" s="2" t="n">
        <v>358.5436604417791</v>
      </c>
      <c r="AL69" s="2" t="n">
        <v>358.6785162877645</v>
      </c>
      <c r="AM69" s="2" t="n">
        <v>15514963559.928892</v>
      </c>
      <c r="AN69" s="2" t="n">
        <v>15495316742.792427</v>
      </c>
      <c r="AO69" s="2" t="n">
        <v>352.9292798648011</v>
      </c>
      <c r="AP69" s="2" t="n">
        <v>153.58702191367848</v>
      </c>
      <c r="AQ69" s="2" t="n">
        <v>7.461229949824999</v>
      </c>
      <c r="AR69" s="2" t="n">
        <v>38.11523980886803</v>
      </c>
      <c r="AS69" s="2" t="n">
        <v>6.3901954354350385</v>
      </c>
      <c r="AT69" s="2" t="n">
        <v>2.2157368890162052</v>
      </c>
      <c r="AU69" s="2" t="n">
        <v>310.1290312401933</v>
      </c>
      <c r="AV69" s="2" t="n">
        <v>142.69265240377484</v>
      </c>
      <c r="AW69" s="2" t="n">
        <v>0.0001347396496077074</v>
      </c>
      <c r="AX69" s="2" t="n">
        <v>842</v>
      </c>
      <c r="AY69" s="2" t="n">
        <v>9.940570180333452e-07</v>
      </c>
      <c r="AZ69" s="2" t="s">
        <v>131</v>
      </c>
      <c r="BA69" s="2" t="n">
        <v>4.48</v>
      </c>
      <c r="BB69" s="2" t="s">
        <v>132</v>
      </c>
      <c r="BC69" s="2" t="n">
        <v>4</v>
      </c>
      <c r="BD69" s="2" t="s">
        <v>133</v>
      </c>
      <c r="BE69" s="2" t="n">
        <v>3000</v>
      </c>
      <c r="BF69" s="2" t="s">
        <v>134</v>
      </c>
      <c r="BG69" s="2" t="n">
        <v>120</v>
      </c>
    </row>
    <row r="70" customFormat="false" ht="15" hidden="false" customHeight="false" outlineLevel="0" collapsed="false">
      <c r="A70" s="2" t="s">
        <v>202</v>
      </c>
      <c r="B70" s="2" t="s">
        <v>128</v>
      </c>
      <c r="C70" s="2" t="s">
        <v>129</v>
      </c>
      <c r="D70" s="2" t="s">
        <v>130</v>
      </c>
      <c r="E70" s="2" t="n">
        <v>1</v>
      </c>
      <c r="F70" s="2" t="n">
        <v>969.3078098836351</v>
      </c>
      <c r="G70" s="2" t="n">
        <v>308.9591787324391</v>
      </c>
      <c r="H70" s="2" t="n">
        <v>299.57770915054334</v>
      </c>
      <c r="I70" s="2" t="n">
        <v>2.9939404665584224</v>
      </c>
      <c r="J70" s="2" t="n">
        <v>0.0016756596166923555</v>
      </c>
      <c r="K70" s="2" t="n">
        <v>0.00013963830139102963</v>
      </c>
      <c r="L70" s="2" t="n">
        <v>30.8182535358784</v>
      </c>
      <c r="M70" s="2" t="n">
        <v>0.6624711618185593</v>
      </c>
      <c r="N70" s="2" t="n">
        <v>1.5372944290167307</v>
      </c>
      <c r="O70" s="2" t="n">
        <v>5.198875</v>
      </c>
      <c r="P70" s="2" t="n">
        <v>3.4441047613994624</v>
      </c>
      <c r="Q70" s="2" t="n">
        <v>28.056939</v>
      </c>
      <c r="R70" s="2" t="n">
        <v>12.313293834097784</v>
      </c>
      <c r="S70" s="2" t="n">
        <v>50.88314258597912</v>
      </c>
      <c r="T70" s="2" t="n">
        <v>76.80808693060548</v>
      </c>
      <c r="U70" s="2" t="n">
        <v>0.0005085102589091281</v>
      </c>
      <c r="V70" s="2" t="n">
        <v>7.224871280964578</v>
      </c>
      <c r="W70" s="2" t="n">
        <v>1.214285360211907e-05</v>
      </c>
      <c r="X70" s="2" t="n">
        <v>628.9906229881599</v>
      </c>
      <c r="Y70" s="2" t="n">
        <v>286.2222035245213</v>
      </c>
      <c r="Z70" s="2" t="n">
        <v>17.076973772922006</v>
      </c>
      <c r="AA70" s="2" t="n">
        <v>345.37919691891165</v>
      </c>
      <c r="AB70" s="2" t="n">
        <v>36.42001818647253</v>
      </c>
      <c r="AC70" s="2" t="n">
        <v>255.0951745256619</v>
      </c>
      <c r="AD70" s="2" t="n">
        <v>0.49843279432154386</v>
      </c>
      <c r="AE70" s="2" t="n">
        <v>365.1674779388859</v>
      </c>
      <c r="AF70" s="2" t="n">
        <v>381.742155789379</v>
      </c>
      <c r="AG70" s="2" t="n">
        <v>326.5171075889463</v>
      </c>
      <c r="AH70" s="2" t="n">
        <v>55.225048200432695</v>
      </c>
      <c r="AI70" s="2" t="n">
        <v>14.468143176244917</v>
      </c>
      <c r="AJ70" s="2" t="n">
        <v>380.85273830775054</v>
      </c>
      <c r="AK70" s="2" t="n">
        <v>381.2288495208003</v>
      </c>
      <c r="AL70" s="2" t="n">
        <v>381.58784278337976</v>
      </c>
      <c r="AM70" s="2" t="n">
        <v>17945445543.81529</v>
      </c>
      <c r="AN70" s="2" t="n">
        <v>17781498935.39127</v>
      </c>
      <c r="AO70" s="2" t="n">
        <v>366.00630037188864</v>
      </c>
      <c r="AP70" s="2" t="n">
        <v>332.10704893774846</v>
      </c>
      <c r="AQ70" s="2" t="n">
        <v>11.428658901314325</v>
      </c>
      <c r="AR70" s="2" t="n">
        <v>56.14726935173974</v>
      </c>
      <c r="AS70" s="2" t="n">
        <v>9.435736053521149</v>
      </c>
      <c r="AT70" s="2" t="n">
        <v>2.22375875757146</v>
      </c>
      <c r="AU70" s="2" t="n">
        <v>302.2834243752585</v>
      </c>
      <c r="AV70" s="2" t="n">
        <v>370.33449838096624</v>
      </c>
      <c r="AW70" s="2" t="n">
        <v>6.297615316369602e-05</v>
      </c>
      <c r="AX70" s="2" t="n">
        <v>1036</v>
      </c>
      <c r="AY70" s="2" t="n">
        <v>9.982346114156826e-07</v>
      </c>
      <c r="AZ70" s="2" t="s">
        <v>131</v>
      </c>
      <c r="BA70" s="2" t="n">
        <v>4.48</v>
      </c>
      <c r="BB70" s="2" t="s">
        <v>132</v>
      </c>
      <c r="BC70" s="2" t="n">
        <v>4</v>
      </c>
      <c r="BD70" s="2" t="s">
        <v>133</v>
      </c>
      <c r="BE70" s="2" t="n">
        <v>3000</v>
      </c>
      <c r="BF70" s="2" t="s">
        <v>134</v>
      </c>
      <c r="BG70" s="2" t="n">
        <v>120</v>
      </c>
    </row>
    <row r="71" customFormat="false" ht="15" hidden="false" customHeight="false" outlineLevel="0" collapsed="false">
      <c r="A71" s="2" t="s">
        <v>203</v>
      </c>
      <c r="B71" s="2" t="s">
        <v>128</v>
      </c>
      <c r="C71" s="2" t="s">
        <v>129</v>
      </c>
      <c r="D71" s="2" t="s">
        <v>130</v>
      </c>
      <c r="E71" s="2" t="n">
        <v>1</v>
      </c>
      <c r="F71" s="2" t="n">
        <v>516.731903831309</v>
      </c>
      <c r="G71" s="2" t="n">
        <v>300.7075560738815</v>
      </c>
      <c r="H71" s="2" t="n">
        <v>300.9319502190371</v>
      </c>
      <c r="I71" s="2" t="n">
        <v>0.01785256976537215</v>
      </c>
      <c r="J71" s="2" t="n">
        <v>0.0015423489408754132</v>
      </c>
      <c r="K71" s="2" t="n">
        <v>0.00012852907840628442</v>
      </c>
      <c r="L71" s="2" t="n">
        <v>26.080567916901778</v>
      </c>
      <c r="M71" s="2" t="n">
        <v>0.7102569019115562</v>
      </c>
      <c r="N71" s="2" t="n">
        <v>0.9451511776777121</v>
      </c>
      <c r="O71" s="2" t="n">
        <v>5.198875</v>
      </c>
      <c r="P71" s="2" t="n">
        <v>3.692536850925442</v>
      </c>
      <c r="Q71" s="2" t="n">
        <v>28.056939</v>
      </c>
      <c r="R71" s="2" t="n">
        <v>14.153739993009825</v>
      </c>
      <c r="S71" s="2" t="n">
        <v>35.35403161609552</v>
      </c>
      <c r="T71" s="2" t="n">
        <v>49.776399949011605</v>
      </c>
      <c r="U71" s="2" t="n">
        <v>0.0006736456894634379</v>
      </c>
      <c r="V71" s="2" t="n">
        <v>8.958214769485084</v>
      </c>
      <c r="W71" s="2" t="n">
        <v>1.3858267865446141e-05</v>
      </c>
      <c r="X71" s="2" t="n">
        <v>335.3109495194631</v>
      </c>
      <c r="Y71" s="2" t="n">
        <v>288.16519647856063</v>
      </c>
      <c r="Z71" s="2" t="n">
        <v>5.767839765108414</v>
      </c>
      <c r="AA71" s="2" t="n">
        <v>322.0402160783472</v>
      </c>
      <c r="AB71" s="2" t="n">
        <v>21.33266000446571</v>
      </c>
      <c r="AC71" s="2" t="n">
        <v>137.53205525728163</v>
      </c>
      <c r="AD71" s="2" t="n">
        <v>0.5040861139981981</v>
      </c>
      <c r="AE71" s="2" t="n">
        <v>334.1408193361704</v>
      </c>
      <c r="AF71" s="2" t="n">
        <v>344.018547209511</v>
      </c>
      <c r="AG71" s="2" t="n">
        <v>311.1791029068656</v>
      </c>
      <c r="AH71" s="2" t="n">
        <v>32.839444302645404</v>
      </c>
      <c r="AI71" s="2" t="n">
        <v>8.636915197433161</v>
      </c>
      <c r="AJ71" s="2" t="n">
        <v>343.51380100155905</v>
      </c>
      <c r="AK71" s="2" t="n">
        <v>343.73031923149</v>
      </c>
      <c r="AL71" s="2" t="n">
        <v>343.93203883816795</v>
      </c>
      <c r="AM71" s="2" t="n">
        <v>12514921261.584324</v>
      </c>
      <c r="AN71" s="2" t="n">
        <v>12465741959.853931</v>
      </c>
      <c r="AO71" s="2" t="n">
        <v>334.46989234219944</v>
      </c>
      <c r="AP71" s="2" t="n">
        <v>177.04418134627653</v>
      </c>
      <c r="AQ71" s="2" t="n">
        <v>5.130157553616942</v>
      </c>
      <c r="AR71" s="2" t="n">
        <v>29.604342184080277</v>
      </c>
      <c r="AS71" s="2" t="n">
        <v>4.777423817979564</v>
      </c>
      <c r="AT71" s="2" t="n">
        <v>2.25342127352477</v>
      </c>
      <c r="AU71" s="2" t="n">
        <v>300.9844243571514</v>
      </c>
      <c r="AV71" s="2" t="n">
        <v>204.6300594929036</v>
      </c>
      <c r="AW71" s="2" t="n">
        <v>0.00011437844367848376</v>
      </c>
      <c r="AX71" s="2" t="n">
        <v>1054</v>
      </c>
      <c r="AY71" s="2" t="n">
        <v>9.977475201594643e-07</v>
      </c>
      <c r="AZ71" s="2" t="s">
        <v>131</v>
      </c>
      <c r="BA71" s="2" t="n">
        <v>4.48</v>
      </c>
      <c r="BB71" s="2" t="s">
        <v>132</v>
      </c>
      <c r="BC71" s="2" t="n">
        <v>4</v>
      </c>
      <c r="BD71" s="2" t="s">
        <v>133</v>
      </c>
      <c r="BE71" s="2" t="n">
        <v>3000</v>
      </c>
      <c r="BF71" s="2" t="s">
        <v>134</v>
      </c>
      <c r="BG71" s="2" t="n">
        <v>120</v>
      </c>
    </row>
    <row r="72" customFormat="false" ht="15" hidden="false" customHeight="false" outlineLevel="0" collapsed="false">
      <c r="A72" s="2" t="s">
        <v>204</v>
      </c>
      <c r="B72" s="2" t="s">
        <v>128</v>
      </c>
      <c r="C72" s="2" t="s">
        <v>129</v>
      </c>
      <c r="D72" s="2" t="s">
        <v>130</v>
      </c>
      <c r="E72" s="2" t="n">
        <v>1</v>
      </c>
      <c r="F72" s="2" t="n">
        <v>845.5913062004126</v>
      </c>
      <c r="G72" s="2" t="n">
        <v>300.3883463484109</v>
      </c>
      <c r="H72" s="2" t="n">
        <v>304.8056576744347</v>
      </c>
      <c r="I72" s="2" t="n">
        <v>3.452040339656957</v>
      </c>
      <c r="J72" s="2" t="n">
        <v>0.0015600404004720023</v>
      </c>
      <c r="K72" s="2" t="n">
        <v>0.00013000336670600018</v>
      </c>
      <c r="L72" s="2" t="n">
        <v>24.730317067437074</v>
      </c>
      <c r="M72" s="2" t="n">
        <v>0.5854662224389796</v>
      </c>
      <c r="N72" s="2" t="n">
        <v>1.396641218457709</v>
      </c>
      <c r="O72" s="2" t="n">
        <v>5.198875</v>
      </c>
      <c r="P72" s="2" t="n">
        <v>3.0437657071824504</v>
      </c>
      <c r="Q72" s="2" t="n">
        <v>28.056939</v>
      </c>
      <c r="R72" s="2" t="n">
        <v>9.617096554026737</v>
      </c>
      <c r="S72" s="2" t="n">
        <v>40.49855929685911</v>
      </c>
      <c r="T72" s="2" t="n">
        <v>69.17317813510599</v>
      </c>
      <c r="U72" s="2" t="n">
        <v>0.0005948180147811092</v>
      </c>
      <c r="V72" s="2" t="n">
        <v>10.513997123206918</v>
      </c>
      <c r="W72" s="2" t="n">
        <v>1.64516151280333e-05</v>
      </c>
      <c r="X72" s="2" t="n">
        <v>548.7101177325911</v>
      </c>
      <c r="Y72" s="2" t="n">
        <v>293.7471175008741</v>
      </c>
      <c r="Z72" s="2" t="n">
        <v>18.817753290696437</v>
      </c>
      <c r="AA72" s="2" t="n">
        <v>335.623778590634</v>
      </c>
      <c r="AB72" s="2" t="n">
        <v>35.23543224222311</v>
      </c>
      <c r="AC72" s="2" t="n">
        <v>229.76915691252051</v>
      </c>
      <c r="AD72" s="2" t="n">
        <v>0.5146326063169406</v>
      </c>
      <c r="AE72" s="2" t="n">
        <v>355.63481640554846</v>
      </c>
      <c r="AF72" s="2" t="n">
        <v>372.0018862643252</v>
      </c>
      <c r="AG72" s="2" t="n">
        <v>317.57483846459456</v>
      </c>
      <c r="AH72" s="2" t="n">
        <v>54.427047799730644</v>
      </c>
      <c r="AI72" s="2" t="n">
        <v>14.303101730256154</v>
      </c>
      <c r="AJ72" s="2" t="n">
        <v>371.1455991747523</v>
      </c>
      <c r="AK72" s="2" t="n">
        <v>371.5102396051236</v>
      </c>
      <c r="AL72" s="2" t="n">
        <v>371.85386317037756</v>
      </c>
      <c r="AM72" s="2" t="n">
        <v>16148115587.952326</v>
      </c>
      <c r="AN72" s="2" t="n">
        <v>15996209597.999794</v>
      </c>
      <c r="AO72" s="2" t="n">
        <v>356.47613655764474</v>
      </c>
      <c r="AP72" s="2" t="n">
        <v>289.7189421628081</v>
      </c>
      <c r="AQ72" s="2" t="n">
        <v>8.727419499880828</v>
      </c>
      <c r="AR72" s="2" t="n">
        <v>43.909886802694686</v>
      </c>
      <c r="AS72" s="2" t="n">
        <v>7.312276510030366</v>
      </c>
      <c r="AT72" s="2" t="n">
        <v>2.233782001869435</v>
      </c>
      <c r="AU72" s="2" t="n">
        <v>306.4564377318596</v>
      </c>
      <c r="AV72" s="2" t="n">
        <v>342.2909434125334</v>
      </c>
      <c r="AW72" s="2" t="n">
        <v>7.08333448144931e-05</v>
      </c>
      <c r="AX72" s="2" t="n">
        <v>1103</v>
      </c>
      <c r="AY72" s="2" t="n">
        <v>9.888137810776243e-07</v>
      </c>
      <c r="AZ72" s="2" t="s">
        <v>131</v>
      </c>
      <c r="BA72" s="2" t="n">
        <v>4.48</v>
      </c>
      <c r="BB72" s="2" t="s">
        <v>132</v>
      </c>
      <c r="BC72" s="2" t="n">
        <v>4</v>
      </c>
      <c r="BD72" s="2" t="s">
        <v>133</v>
      </c>
      <c r="BE72" s="2" t="n">
        <v>3000</v>
      </c>
      <c r="BF72" s="2" t="s">
        <v>134</v>
      </c>
      <c r="BG72" s="2" t="n">
        <v>120</v>
      </c>
    </row>
    <row r="73" customFormat="false" ht="15" hidden="false" customHeight="false" outlineLevel="0" collapsed="false">
      <c r="A73" s="2" t="s">
        <v>205</v>
      </c>
      <c r="B73" s="2" t="s">
        <v>128</v>
      </c>
      <c r="C73" s="2" t="s">
        <v>129</v>
      </c>
      <c r="D73" s="2" t="s">
        <v>130</v>
      </c>
      <c r="E73" s="2" t="n">
        <v>1</v>
      </c>
      <c r="F73" s="2" t="n">
        <v>839.0997367755554</v>
      </c>
      <c r="G73" s="2" t="n">
        <v>319.66709918860795</v>
      </c>
      <c r="H73" s="2" t="n">
        <v>303.48380808996086</v>
      </c>
      <c r="I73" s="2" t="n">
        <v>2.641896115961422</v>
      </c>
      <c r="J73" s="2" t="n">
        <v>0.0037796218176947274</v>
      </c>
      <c r="K73" s="2" t="n">
        <v>0.00031496848480789397</v>
      </c>
      <c r="L73" s="2" t="n">
        <v>33.52342791924864</v>
      </c>
      <c r="M73" s="2" t="n">
        <v>0.6463497701759189</v>
      </c>
      <c r="N73" s="2" t="n">
        <v>0.931386884242832</v>
      </c>
      <c r="O73" s="2" t="n">
        <v>5.198875</v>
      </c>
      <c r="P73" s="2" t="n">
        <v>3.3602916614233305</v>
      </c>
      <c r="Q73" s="2" t="n">
        <v>28.056939</v>
      </c>
      <c r="R73" s="2" t="n">
        <v>11.721292004979587</v>
      </c>
      <c r="S73" s="2" t="n">
        <v>115.22884475733271</v>
      </c>
      <c r="T73" s="2" t="n">
        <v>178.27629880021541</v>
      </c>
      <c r="U73" s="2" t="n">
        <v>0.0005064947883541807</v>
      </c>
      <c r="V73" s="2" t="n">
        <v>20.608437500130293</v>
      </c>
      <c r="W73" s="2" t="n">
        <v>7.812647944241789e-05</v>
      </c>
      <c r="X73" s="2" t="n">
        <v>544.4976928918152</v>
      </c>
      <c r="Y73" s="2" t="n">
        <v>291.83835260139887</v>
      </c>
      <c r="Z73" s="2" t="n">
        <v>15.739205240653401</v>
      </c>
      <c r="AA73" s="2" t="n">
        <v>335.2586956176932</v>
      </c>
      <c r="AB73" s="2" t="n">
        <v>15.591596429085257</v>
      </c>
      <c r="AC73" s="2" t="n">
        <v>246.32881299073847</v>
      </c>
      <c r="AD73" s="2" t="n">
        <v>0.5559909297293447</v>
      </c>
      <c r="AE73" s="2" t="n">
        <v>338.22320582150866</v>
      </c>
      <c r="AF73" s="2" t="n">
        <v>342.89068195152794</v>
      </c>
      <c r="AG73" s="2" t="n">
        <v>326.66287580929753</v>
      </c>
      <c r="AH73" s="2" t="n">
        <v>16.227806142230406</v>
      </c>
      <c r="AI73" s="2" t="n">
        <v>3.9329084343151113</v>
      </c>
      <c r="AJ73" s="2" t="n">
        <v>342.4569866271236</v>
      </c>
      <c r="AK73" s="2" t="n">
        <v>342.6279890838824</v>
      </c>
      <c r="AL73" s="2" t="n">
        <v>342.80663381035845</v>
      </c>
      <c r="AM73" s="2" t="n">
        <v>13096746314.99839</v>
      </c>
      <c r="AN73" s="2" t="n">
        <v>13086201601.208078</v>
      </c>
      <c r="AO73" s="2" t="n">
        <v>338.2913193550513</v>
      </c>
      <c r="AP73" s="2" t="n">
        <v>287.4947818468784</v>
      </c>
      <c r="AQ73" s="2" t="n">
        <v>5.45061104639605</v>
      </c>
      <c r="AR73" s="2" t="n">
        <v>30.71753699610951</v>
      </c>
      <c r="AS73" s="2" t="n">
        <v>4.997605475801494</v>
      </c>
      <c r="AT73" s="2" t="n">
        <v>2.2443063264600798</v>
      </c>
      <c r="AU73" s="2" t="n">
        <v>303.8200502609932</v>
      </c>
      <c r="AV73" s="2" t="n">
        <v>214.73228826112978</v>
      </c>
      <c r="AW73" s="2" t="n">
        <v>7.360647678812649e-05</v>
      </c>
      <c r="AX73" s="2" t="n">
        <v>359</v>
      </c>
      <c r="AY73" s="2" t="n">
        <v>9.896720030155848e-07</v>
      </c>
      <c r="AZ73" s="2" t="s">
        <v>131</v>
      </c>
      <c r="BA73" s="2" t="n">
        <v>4.48</v>
      </c>
      <c r="BB73" s="2" t="s">
        <v>132</v>
      </c>
      <c r="BC73" s="2" t="n">
        <v>4</v>
      </c>
      <c r="BD73" s="2" t="s">
        <v>133</v>
      </c>
      <c r="BE73" s="2" t="n">
        <v>3000</v>
      </c>
      <c r="BF73" s="2" t="s">
        <v>134</v>
      </c>
      <c r="BG73" s="2" t="n">
        <v>120</v>
      </c>
    </row>
    <row r="74" customFormat="false" ht="15" hidden="false" customHeight="false" outlineLevel="0" collapsed="false">
      <c r="A74" s="2" t="s">
        <v>206</v>
      </c>
      <c r="B74" s="2" t="s">
        <v>128</v>
      </c>
      <c r="C74" s="2" t="s">
        <v>129</v>
      </c>
      <c r="D74" s="2" t="s">
        <v>130</v>
      </c>
      <c r="E74" s="2" t="n">
        <v>1</v>
      </c>
      <c r="F74" s="2" t="n">
        <v>787.7986819744215</v>
      </c>
      <c r="G74" s="2" t="n">
        <v>322.01898520006836</v>
      </c>
      <c r="H74" s="2" t="n">
        <v>296.8382842064268</v>
      </c>
      <c r="I74" s="2" t="n">
        <v>3.5651232880144597</v>
      </c>
      <c r="J74" s="2" t="n">
        <v>0.0016272956035373563</v>
      </c>
      <c r="K74" s="2" t="n">
        <v>0.00013560796696144637</v>
      </c>
      <c r="L74" s="2" t="n">
        <v>27.32382566597441</v>
      </c>
      <c r="M74" s="2" t="n">
        <v>0.3599891967744044</v>
      </c>
      <c r="N74" s="2" t="n">
        <v>0.5873943912200745</v>
      </c>
      <c r="O74" s="2" t="n">
        <v>5.198875</v>
      </c>
      <c r="P74" s="2" t="n">
        <v>1.871538835380532</v>
      </c>
      <c r="Q74" s="2" t="n">
        <v>28.056939</v>
      </c>
      <c r="R74" s="2" t="n">
        <v>3.6359610617566087</v>
      </c>
      <c r="S74" s="2" t="n">
        <v>56.62098295495618</v>
      </c>
      <c r="T74" s="2" t="n">
        <v>157.28522817433057</v>
      </c>
      <c r="U74" s="2" t="n">
        <v>0.00044378936248365127</v>
      </c>
      <c r="V74" s="2" t="n">
        <v>45.24470016312437</v>
      </c>
      <c r="W74" s="2" t="n">
        <v>7.384804579620681e-05</v>
      </c>
      <c r="X74" s="2" t="n">
        <v>511.2080793239759</v>
      </c>
      <c r="Y74" s="2" t="n">
        <v>282.3052447237944</v>
      </c>
      <c r="Z74" s="2" t="n">
        <v>19.247468494454946</v>
      </c>
      <c r="AA74" s="2" t="n">
        <v>349.8473430684861</v>
      </c>
      <c r="AB74" s="2" t="n">
        <v>27.828357868417754</v>
      </c>
      <c r="AC74" s="2" t="n">
        <v>189.29115124609092</v>
      </c>
      <c r="AD74" s="2" t="n">
        <v>0.4550730744694895</v>
      </c>
      <c r="AE74" s="2" t="n">
        <v>365.46372719736576</v>
      </c>
      <c r="AF74" s="2" t="n">
        <v>378.2418355628239</v>
      </c>
      <c r="AG74" s="2" t="n">
        <v>335.49158698342336</v>
      </c>
      <c r="AH74" s="2" t="n">
        <v>42.750248579400534</v>
      </c>
      <c r="AI74" s="2" t="n">
        <v>11.218269289539432</v>
      </c>
      <c r="AJ74" s="2" t="n">
        <v>377.59490160112335</v>
      </c>
      <c r="AK74" s="2" t="n">
        <v>377.87387590503596</v>
      </c>
      <c r="AL74" s="2" t="n">
        <v>378.1264300875849</v>
      </c>
      <c r="AM74" s="2" t="n">
        <v>17938330165.768852</v>
      </c>
      <c r="AN74" s="2" t="n">
        <v>17839271546.76105</v>
      </c>
      <c r="AO74" s="2" t="n">
        <v>365.9700145563442</v>
      </c>
      <c r="AP74" s="2" t="n">
        <v>269.9178658830593</v>
      </c>
      <c r="AQ74" s="2" t="n">
        <v>11.791358701907015</v>
      </c>
      <c r="AR74" s="2" t="n">
        <v>58.962701402495014</v>
      </c>
      <c r="AS74" s="2" t="n">
        <v>9.872447770139885</v>
      </c>
      <c r="AT74" s="2" t="n">
        <v>2.225153010305909</v>
      </c>
      <c r="AU74" s="2" t="n">
        <v>299.42643427003344</v>
      </c>
      <c r="AV74" s="2" t="n">
        <v>279.3695841549244</v>
      </c>
      <c r="AW74" s="2" t="n">
        <v>7.686956974645939e-05</v>
      </c>
      <c r="AX74" s="2" t="n">
        <v>1042</v>
      </c>
      <c r="AY74" s="2" t="n">
        <v>9.883759162221395e-07</v>
      </c>
      <c r="AZ74" s="2" t="s">
        <v>131</v>
      </c>
      <c r="BA74" s="2" t="n">
        <v>4.48</v>
      </c>
      <c r="BB74" s="2" t="s">
        <v>132</v>
      </c>
      <c r="BC74" s="2" t="n">
        <v>4</v>
      </c>
      <c r="BD74" s="2" t="s">
        <v>133</v>
      </c>
      <c r="BE74" s="2" t="n">
        <v>3000</v>
      </c>
      <c r="BF74" s="2" t="s">
        <v>134</v>
      </c>
      <c r="BG74" s="2" t="n">
        <v>120</v>
      </c>
    </row>
    <row r="75" customFormat="false" ht="15" hidden="false" customHeight="false" outlineLevel="0" collapsed="false">
      <c r="A75" s="2" t="s">
        <v>207</v>
      </c>
      <c r="B75" s="2" t="s">
        <v>128</v>
      </c>
      <c r="C75" s="2" t="s">
        <v>129</v>
      </c>
      <c r="D75" s="2" t="s">
        <v>130</v>
      </c>
      <c r="E75" s="2" t="n">
        <v>1</v>
      </c>
      <c r="F75" s="2" t="n">
        <v>611.6248231830864</v>
      </c>
      <c r="G75" s="2" t="n">
        <v>308.50693112332186</v>
      </c>
      <c r="H75" s="2" t="n">
        <v>300.7908575274762</v>
      </c>
      <c r="I75" s="2" t="n">
        <v>4.022694128037421</v>
      </c>
      <c r="J75" s="2" t="n">
        <v>0.002684350804184307</v>
      </c>
      <c r="K75" s="2" t="n">
        <v>0.00022369590034869227</v>
      </c>
      <c r="L75" s="2" t="n">
        <v>28.49264688113984</v>
      </c>
      <c r="M75" s="2" t="n">
        <v>0.7726025503625662</v>
      </c>
      <c r="N75" s="2" t="n">
        <v>1.6677555828916009</v>
      </c>
      <c r="O75" s="2" t="n">
        <v>5.198875</v>
      </c>
      <c r="P75" s="2" t="n">
        <v>4.0166640840161865</v>
      </c>
      <c r="Q75" s="2" t="n">
        <v>28.056939</v>
      </c>
      <c r="R75" s="2" t="n">
        <v>16.747599349299136</v>
      </c>
      <c r="S75" s="2" t="n">
        <v>67.52814814688448</v>
      </c>
      <c r="T75" s="2" t="n">
        <v>87.4034755841732</v>
      </c>
      <c r="U75" s="2" t="n">
        <v>0.0006138217491608556</v>
      </c>
      <c r="V75" s="2" t="n">
        <v>10.279046668781818</v>
      </c>
      <c r="W75" s="2" t="n">
        <v>2.7675593973513036e-05</v>
      </c>
      <c r="X75" s="2" t="n">
        <v>396.88762913726697</v>
      </c>
      <c r="Y75" s="2" t="n">
        <v>287.96255978379355</v>
      </c>
      <c r="Z75" s="2" t="n">
        <v>20.9862376865422</v>
      </c>
      <c r="AA75" s="2" t="n">
        <v>324.1398966937042</v>
      </c>
      <c r="AB75" s="2" t="n">
        <v>15.63296557038234</v>
      </c>
      <c r="AC75" s="2" t="n">
        <v>175.4110402686811</v>
      </c>
      <c r="AD75" s="2" t="n">
        <v>0.5431726553670254</v>
      </c>
      <c r="AE75" s="2" t="n">
        <v>329.2894098039847</v>
      </c>
      <c r="AF75" s="2" t="n">
        <v>335.16122568221067</v>
      </c>
      <c r="AG75" s="2" t="n">
        <v>315.45416540245964</v>
      </c>
      <c r="AH75" s="2" t="n">
        <v>19.707060279751033</v>
      </c>
      <c r="AI75" s="2" t="n">
        <v>4.982484764868565</v>
      </c>
      <c r="AJ75" s="2" t="n">
        <v>334.6690921322799</v>
      </c>
      <c r="AK75" s="2" t="n">
        <v>334.88081932437007</v>
      </c>
      <c r="AL75" s="2" t="n">
        <v>335.0707262868082</v>
      </c>
      <c r="AM75" s="2" t="n">
        <v>11773393443.405903</v>
      </c>
      <c r="AN75" s="2" t="n">
        <v>11757393533.904474</v>
      </c>
      <c r="AO75" s="2" t="n">
        <v>329.4013800768061</v>
      </c>
      <c r="AP75" s="2" t="n">
        <v>209.55666818447696</v>
      </c>
      <c r="AQ75" s="2" t="n">
        <v>4.314520319738301</v>
      </c>
      <c r="AR75" s="2" t="n">
        <v>25.731108378221272</v>
      </c>
      <c r="AS75" s="2" t="n">
        <v>4.09979821786478</v>
      </c>
      <c r="AT75" s="2" t="n">
        <v>2.269229300248702</v>
      </c>
      <c r="AU75" s="2" t="n">
        <v>300.4709754225908</v>
      </c>
      <c r="AV75" s="2" t="n">
        <v>196.5614284381553</v>
      </c>
      <c r="AW75" s="2" t="n">
        <v>9.655471714701717e-05</v>
      </c>
      <c r="AX75" s="2" t="n">
        <v>544</v>
      </c>
      <c r="AY75" s="2" t="n">
        <v>9.89577188192925e-07</v>
      </c>
      <c r="AZ75" s="2" t="s">
        <v>131</v>
      </c>
      <c r="BA75" s="2" t="n">
        <v>4.48</v>
      </c>
      <c r="BB75" s="2" t="s">
        <v>132</v>
      </c>
      <c r="BC75" s="2" t="n">
        <v>4</v>
      </c>
      <c r="BD75" s="2" t="s">
        <v>133</v>
      </c>
      <c r="BE75" s="2" t="n">
        <v>3000</v>
      </c>
      <c r="BF75" s="2" t="s">
        <v>134</v>
      </c>
      <c r="BG75" s="2" t="n">
        <v>120</v>
      </c>
    </row>
    <row r="76" customFormat="false" ht="15" hidden="false" customHeight="false" outlineLevel="0" collapsed="false">
      <c r="A76" s="2" t="s">
        <v>208</v>
      </c>
      <c r="B76" s="2" t="s">
        <v>128</v>
      </c>
      <c r="C76" s="2" t="s">
        <v>129</v>
      </c>
      <c r="D76" s="2" t="s">
        <v>130</v>
      </c>
      <c r="E76" s="2" t="n">
        <v>1</v>
      </c>
      <c r="F76" s="2" t="n">
        <v>598.691251494639</v>
      </c>
      <c r="G76" s="2" t="n">
        <v>297.37144475680077</v>
      </c>
      <c r="H76" s="2" t="n">
        <v>299.807624560191</v>
      </c>
      <c r="I76" s="2" t="n">
        <v>3.9000123636439845</v>
      </c>
      <c r="J76" s="2" t="n">
        <v>0.0028708031201714196</v>
      </c>
      <c r="K76" s="2" t="n">
        <v>0.0002392335933476183</v>
      </c>
      <c r="L76" s="2" t="n">
        <v>28.088002590417776</v>
      </c>
      <c r="M76" s="2" t="n">
        <v>0.4297578798350955</v>
      </c>
      <c r="N76" s="2" t="n">
        <v>0.7669906843326609</v>
      </c>
      <c r="O76" s="2" t="n">
        <v>5.198875</v>
      </c>
      <c r="P76" s="2" t="n">
        <v>2.234257497527682</v>
      </c>
      <c r="Q76" s="2" t="n">
        <v>28.056939</v>
      </c>
      <c r="R76" s="2" t="n">
        <v>5.1818875562590065</v>
      </c>
      <c r="S76" s="2" t="n">
        <v>57.859723936769335</v>
      </c>
      <c r="T76" s="2" t="n">
        <v>134.63330552303304</v>
      </c>
      <c r="U76" s="2" t="n">
        <v>0.0007661519194026104</v>
      </c>
      <c r="V76" s="2" t="n">
        <v>72.16456092600839</v>
      </c>
      <c r="W76" s="2" t="n">
        <v>0.00020779362755484994</v>
      </c>
      <c r="X76" s="2" t="n">
        <v>388.49494393363165</v>
      </c>
      <c r="Y76" s="2" t="n">
        <v>286.5517650256159</v>
      </c>
      <c r="Z76" s="2" t="n">
        <v>20.52004698184714</v>
      </c>
      <c r="AA76" s="2" t="n">
        <v>312.6681890455305</v>
      </c>
      <c r="AB76" s="2" t="n">
        <v>15.296744288729712</v>
      </c>
      <c r="AC76" s="2" t="n">
        <v>183.56027435205732</v>
      </c>
      <c r="AD76" s="2" t="n">
        <v>0.5806866793021734</v>
      </c>
      <c r="AE76" s="2" t="n">
        <v>317.0968736348797</v>
      </c>
      <c r="AF76" s="2" t="n">
        <v>322.5022516530724</v>
      </c>
      <c r="AG76" s="2" t="n">
        <v>304.2626868370022</v>
      </c>
      <c r="AH76" s="2" t="n">
        <v>18.239564816070185</v>
      </c>
      <c r="AI76" s="2" t="n">
        <v>4.579586526846606</v>
      </c>
      <c r="AJ76" s="2" t="n">
        <v>322.04181167266074</v>
      </c>
      <c r="AK76" s="2" t="n">
        <v>322.23777768416676</v>
      </c>
      <c r="AL76" s="2" t="n">
        <v>322.41780342161013</v>
      </c>
      <c r="AM76" s="2" t="n">
        <v>10122931007.440065</v>
      </c>
      <c r="AN76" s="2" t="n">
        <v>10110388423.981451</v>
      </c>
      <c r="AO76" s="2" t="n">
        <v>317.19517265484586</v>
      </c>
      <c r="AP76" s="2" t="n">
        <v>205.1253303969575</v>
      </c>
      <c r="AQ76" s="2" t="n">
        <v>2.58502851644525</v>
      </c>
      <c r="AR76" s="2" t="n">
        <v>16.49260188969628</v>
      </c>
      <c r="AS76" s="2" t="n">
        <v>2.4872292408712173</v>
      </c>
      <c r="AT76" s="2" t="n">
        <v>2.362329850157633</v>
      </c>
      <c r="AU76" s="2" t="n">
        <v>298.62542039041125</v>
      </c>
      <c r="AV76" s="2" t="n">
        <v>192.7987263924693</v>
      </c>
      <c r="AW76" s="2" t="n">
        <v>9.642215960923835e-05</v>
      </c>
      <c r="AX76" s="2" t="n">
        <v>486</v>
      </c>
      <c r="AY76" s="2" t="n">
        <v>9.800695579542662e-07</v>
      </c>
      <c r="AZ76" s="2" t="s">
        <v>131</v>
      </c>
      <c r="BA76" s="2" t="n">
        <v>4.48</v>
      </c>
      <c r="BB76" s="2" t="s">
        <v>132</v>
      </c>
      <c r="BC76" s="2" t="n">
        <v>4</v>
      </c>
      <c r="BD76" s="2" t="s">
        <v>133</v>
      </c>
      <c r="BE76" s="2" t="n">
        <v>3000</v>
      </c>
      <c r="BF76" s="2" t="s">
        <v>134</v>
      </c>
      <c r="BG76" s="2" t="n">
        <v>120</v>
      </c>
    </row>
    <row r="77" customFormat="false" ht="15" hidden="false" customHeight="false" outlineLevel="0" collapsed="false">
      <c r="A77" s="2" t="s">
        <v>209</v>
      </c>
      <c r="B77" s="2" t="s">
        <v>128</v>
      </c>
      <c r="C77" s="2" t="s">
        <v>129</v>
      </c>
      <c r="D77" s="2" t="s">
        <v>130</v>
      </c>
      <c r="E77" s="2" t="n">
        <v>1</v>
      </c>
      <c r="F77" s="2" t="n">
        <v>458.20550213520517</v>
      </c>
      <c r="G77" s="2" t="n">
        <v>330.0362748763086</v>
      </c>
      <c r="H77" s="2" t="n">
        <v>306.7993051417779</v>
      </c>
      <c r="I77" s="2" t="n">
        <v>2.1649676864770475</v>
      </c>
      <c r="J77" s="2" t="n">
        <v>0.0010492227592721706</v>
      </c>
      <c r="K77" s="2" t="n">
        <v>8.743522993934754e-05</v>
      </c>
      <c r="L77" s="2" t="n">
        <v>26.986913489626797</v>
      </c>
      <c r="M77" s="2" t="n">
        <v>0.5368467483113791</v>
      </c>
      <c r="N77" s="2" t="n">
        <v>1.2317080822931172</v>
      </c>
      <c r="O77" s="2" t="n">
        <v>5.198875</v>
      </c>
      <c r="P77" s="2" t="n">
        <v>2.790999138627321</v>
      </c>
      <c r="Q77" s="2" t="n">
        <v>28.056939</v>
      </c>
      <c r="R77" s="2" t="n">
        <v>8.086134144936567</v>
      </c>
      <c r="S77" s="2" t="n">
        <v>38.90541475984836</v>
      </c>
      <c r="T77" s="2" t="n">
        <v>72.47024384933526</v>
      </c>
      <c r="U77" s="2" t="n">
        <v>0.0004164333422161634</v>
      </c>
      <c r="V77" s="2" t="n">
        <v>6.359836457423525</v>
      </c>
      <c r="W77" s="2" t="n">
        <v>6.692964048523227e-06</v>
      </c>
      <c r="X77" s="2" t="n">
        <v>297.3327577740496</v>
      </c>
      <c r="Y77" s="2" t="n">
        <v>296.6337999545594</v>
      </c>
      <c r="Z77" s="2" t="n">
        <v>13.92687720861278</v>
      </c>
      <c r="AA77" s="2" t="n">
        <v>350.57214208560237</v>
      </c>
      <c r="AB77" s="2" t="n">
        <v>20.53586720929377</v>
      </c>
      <c r="AC77" s="2" t="n">
        <v>90.06520289585717</v>
      </c>
      <c r="AD77" s="2" t="n">
        <v>0.37227408879362367</v>
      </c>
      <c r="AE77" s="2" t="n">
        <v>364.0737674127767</v>
      </c>
      <c r="AF77" s="2" t="n">
        <v>373.49971165304373</v>
      </c>
      <c r="AG77" s="2" t="n">
        <v>341.32412099615306</v>
      </c>
      <c r="AH77" s="2" t="n">
        <v>32.17559065689068</v>
      </c>
      <c r="AI77" s="2" t="n">
        <v>8.449967842352116</v>
      </c>
      <c r="AJ77" s="2" t="n">
        <v>373.1544101010245</v>
      </c>
      <c r="AK77" s="2" t="n">
        <v>373.3344350036918</v>
      </c>
      <c r="AL77" s="2" t="n">
        <v>373.4528881434155</v>
      </c>
      <c r="AM77" s="2" t="n">
        <v>17625349785.457546</v>
      </c>
      <c r="AN77" s="2" t="n">
        <v>17569425122.202156</v>
      </c>
      <c r="AO77" s="2" t="n">
        <v>364.36314006115913</v>
      </c>
      <c r="AP77" s="2" t="n">
        <v>156.99169610469818</v>
      </c>
      <c r="AQ77" s="2" t="n">
        <v>10.049478983487482</v>
      </c>
      <c r="AR77" s="2" t="n">
        <v>48.63730670904997</v>
      </c>
      <c r="AS77" s="2" t="n">
        <v>8.239497082852223</v>
      </c>
      <c r="AT77" s="2" t="n">
        <v>2.2131106423433704</v>
      </c>
      <c r="AU77" s="2" t="n">
        <v>309.6007532200089</v>
      </c>
      <c r="AV77" s="2" t="n">
        <v>143.4239407316185</v>
      </c>
      <c r="AW77" s="2" t="n">
        <v>0.00013442864841128186</v>
      </c>
      <c r="AX77" s="2" t="n">
        <v>1434</v>
      </c>
      <c r="AY77" s="2" t="n">
        <v>9.940409881892265e-07</v>
      </c>
      <c r="AZ77" s="2" t="s">
        <v>131</v>
      </c>
      <c r="BA77" s="2" t="n">
        <v>4.48</v>
      </c>
      <c r="BB77" s="2" t="s">
        <v>132</v>
      </c>
      <c r="BC77" s="2" t="n">
        <v>4</v>
      </c>
      <c r="BD77" s="2" t="s">
        <v>133</v>
      </c>
      <c r="BE77" s="2" t="n">
        <v>3000</v>
      </c>
      <c r="BF77" s="2" t="s">
        <v>134</v>
      </c>
      <c r="BG77" s="2" t="n">
        <v>120</v>
      </c>
    </row>
    <row r="78" customFormat="false" ht="15" hidden="false" customHeight="false" outlineLevel="0" collapsed="false">
      <c r="A78" s="2" t="s">
        <v>210</v>
      </c>
      <c r="B78" s="2" t="s">
        <v>128</v>
      </c>
      <c r="C78" s="2" t="s">
        <v>129</v>
      </c>
      <c r="D78" s="2" t="s">
        <v>130</v>
      </c>
      <c r="E78" s="2" t="n">
        <v>1</v>
      </c>
      <c r="F78" s="2" t="n">
        <v>793.1198994196101</v>
      </c>
      <c r="G78" s="2" t="n">
        <v>329.5966579468162</v>
      </c>
      <c r="H78" s="2" t="n">
        <v>312.65952270772414</v>
      </c>
      <c r="I78" s="2" t="n">
        <v>4.663431157591021</v>
      </c>
      <c r="J78" s="2" t="n">
        <v>0.0029941709785816363</v>
      </c>
      <c r="K78" s="2" t="n">
        <v>0.0002495142482151364</v>
      </c>
      <c r="L78" s="2" t="n">
        <v>34.80971918769022</v>
      </c>
      <c r="M78" s="2" t="n">
        <v>0.8466051230903913</v>
      </c>
      <c r="N78" s="2" t="n">
        <v>1.6816278564703337</v>
      </c>
      <c r="O78" s="2" t="n">
        <v>5.198875</v>
      </c>
      <c r="P78" s="2" t="n">
        <v>4.401394209306559</v>
      </c>
      <c r="Q78" s="2" t="n">
        <v>28.056939</v>
      </c>
      <c r="R78" s="2" t="n">
        <v>20.10953703661005</v>
      </c>
      <c r="S78" s="2" t="n">
        <v>108.21220502179614</v>
      </c>
      <c r="T78" s="2" t="n">
        <v>127.8189820382677</v>
      </c>
      <c r="U78" s="2" t="n">
        <v>0.0004272560208378839</v>
      </c>
      <c r="V78" s="2" t="n">
        <v>6.828515455259715</v>
      </c>
      <c r="W78" s="2" t="n">
        <v>2.0507264596724985e-05</v>
      </c>
      <c r="X78" s="2" t="n">
        <v>514.6610545726809</v>
      </c>
      <c r="Y78" s="2" t="n">
        <v>305.1733243303434</v>
      </c>
      <c r="Z78" s="2" t="n">
        <v>23.42103839884588</v>
      </c>
      <c r="AA78" s="2" t="n">
        <v>347.51848536366737</v>
      </c>
      <c r="AB78" s="2" t="n">
        <v>17.92182741685116</v>
      </c>
      <c r="AC78" s="2" t="n">
        <v>224.30304493498093</v>
      </c>
      <c r="AD78" s="2" t="n">
        <v>0.5356269251266939</v>
      </c>
      <c r="AE78" s="2" t="n">
        <v>352.76213113018093</v>
      </c>
      <c r="AF78" s="2" t="n">
        <v>359.11107078327314</v>
      </c>
      <c r="AG78" s="2" t="n">
        <v>337.6083220265341</v>
      </c>
      <c r="AH78" s="2" t="n">
        <v>21.502748756739038</v>
      </c>
      <c r="AI78" s="2" t="n">
        <v>5.399622688602493</v>
      </c>
      <c r="AJ78" s="2" t="n">
        <v>358.58905608305207</v>
      </c>
      <c r="AK78" s="2" t="n">
        <v>358.80966067836164</v>
      </c>
      <c r="AL78" s="2" t="n">
        <v>359.0143212200531</v>
      </c>
      <c r="AM78" s="2" t="n">
        <v>15507163033.279</v>
      </c>
      <c r="AN78" s="2" t="n">
        <v>15485592635.435093</v>
      </c>
      <c r="AO78" s="2" t="n">
        <v>352.88491054590213</v>
      </c>
      <c r="AP78" s="2" t="n">
        <v>271.7410368143755</v>
      </c>
      <c r="AQ78" s="2" t="n">
        <v>6.915267812891224</v>
      </c>
      <c r="AR78" s="2" t="n">
        <v>34.75336124617306</v>
      </c>
      <c r="AS78" s="2" t="n">
        <v>5.769156304744737</v>
      </c>
      <c r="AT78" s="2" t="n">
        <v>2.2403700189100637</v>
      </c>
      <c r="AU78" s="2" t="n">
        <v>313.8389162463083</v>
      </c>
      <c r="AV78" s="2" t="n">
        <v>236.74712753613346</v>
      </c>
      <c r="AW78" s="2" t="n">
        <v>7.67388328052538e-05</v>
      </c>
      <c r="AX78" s="2" t="n">
        <v>502</v>
      </c>
      <c r="AY78" s="2" t="n">
        <v>9.809707535168855e-07</v>
      </c>
      <c r="AZ78" s="2" t="s">
        <v>131</v>
      </c>
      <c r="BA78" s="2" t="n">
        <v>4.48</v>
      </c>
      <c r="BB78" s="2" t="s">
        <v>132</v>
      </c>
      <c r="BC78" s="2" t="n">
        <v>4</v>
      </c>
      <c r="BD78" s="2" t="s">
        <v>133</v>
      </c>
      <c r="BE78" s="2" t="n">
        <v>3000</v>
      </c>
      <c r="BF78" s="2" t="s">
        <v>134</v>
      </c>
      <c r="BG78" s="2" t="n">
        <v>120</v>
      </c>
    </row>
    <row r="79" customFormat="false" ht="15" hidden="false" customHeight="false" outlineLevel="0" collapsed="false">
      <c r="A79" s="2" t="s">
        <v>211</v>
      </c>
      <c r="B79" s="2" t="s">
        <v>128</v>
      </c>
      <c r="C79" s="2" t="s">
        <v>129</v>
      </c>
      <c r="D79" s="2" t="s">
        <v>130</v>
      </c>
      <c r="E79" s="2" t="n">
        <v>1</v>
      </c>
      <c r="F79" s="2" t="n">
        <v>902.3377616140087</v>
      </c>
      <c r="G79" s="2" t="n">
        <v>291.2585884885454</v>
      </c>
      <c r="H79" s="2" t="n">
        <v>294.16033022768835</v>
      </c>
      <c r="I79" s="2" t="n">
        <v>1.8431012020880426</v>
      </c>
      <c r="J79" s="2" t="n">
        <v>0.002106673464000436</v>
      </c>
      <c r="K79" s="2" t="n">
        <v>0.00017555612200003635</v>
      </c>
      <c r="L79" s="2" t="n">
        <v>32.13565505448048</v>
      </c>
      <c r="M79" s="2" t="n">
        <v>0.6351473491026028</v>
      </c>
      <c r="N79" s="2" t="n">
        <v>1.0473639667056829</v>
      </c>
      <c r="O79" s="2" t="n">
        <v>5.198875</v>
      </c>
      <c r="P79" s="2" t="n">
        <v>3.3020516745657944</v>
      </c>
      <c r="Q79" s="2" t="n">
        <v>28.056939</v>
      </c>
      <c r="R79" s="2" t="n">
        <v>11.31851022671543</v>
      </c>
      <c r="S79" s="2" t="n">
        <v>43.48701893562273</v>
      </c>
      <c r="T79" s="2" t="n">
        <v>68.46760676410813</v>
      </c>
      <c r="U79" s="2" t="n">
        <v>0.0007480410460968416</v>
      </c>
      <c r="V79" s="2" t="n">
        <v>16.881575816565586</v>
      </c>
      <c r="W79" s="2" t="n">
        <v>3.5670980745506734e-05</v>
      </c>
      <c r="X79" s="2" t="n">
        <v>585.5332898756615</v>
      </c>
      <c r="Y79" s="2" t="n">
        <v>278.49360970725</v>
      </c>
      <c r="Z79" s="2" t="n">
        <v>12.703784567934562</v>
      </c>
      <c r="AA79" s="2" t="n">
        <v>321.04132305404426</v>
      </c>
      <c r="AB79" s="2" t="n">
        <v>29.782734565498856</v>
      </c>
      <c r="AC79" s="2" t="n">
        <v>262.26363576503087</v>
      </c>
      <c r="AD79" s="2" t="n">
        <v>0.5504717329846623</v>
      </c>
      <c r="AE79" s="2" t="n">
        <v>333.8845071047908</v>
      </c>
      <c r="AF79" s="2" t="n">
        <v>346.2404686905962</v>
      </c>
      <c r="AG79" s="2" t="n">
        <v>305.22673400711426</v>
      </c>
      <c r="AH79" s="2" t="n">
        <v>41.013734683481914</v>
      </c>
      <c r="AI79" s="2" t="n">
        <v>10.616231629944089</v>
      </c>
      <c r="AJ79" s="2" t="n">
        <v>345.45795735673363</v>
      </c>
      <c r="AK79" s="2" t="n">
        <v>345.78157000100055</v>
      </c>
      <c r="AL79" s="2" t="n">
        <v>346.09762438634334</v>
      </c>
      <c r="AM79" s="2" t="n">
        <v>12501650947.73474</v>
      </c>
      <c r="AN79" s="2" t="n">
        <v>12427537137.594753</v>
      </c>
      <c r="AO79" s="2" t="n">
        <v>334.38119249434817</v>
      </c>
      <c r="AP79" s="2" t="n">
        <v>309.16157705434927</v>
      </c>
      <c r="AQ79" s="2" t="n">
        <v>5.940792876483156</v>
      </c>
      <c r="AR79" s="2" t="n">
        <v>35.24223362391971</v>
      </c>
      <c r="AS79" s="2" t="n">
        <v>5.7147151892742425</v>
      </c>
      <c r="AT79" s="2" t="n">
        <v>2.2359647319387257</v>
      </c>
      <c r="AU79" s="2" t="n">
        <v>294.41376289058854</v>
      </c>
      <c r="AV79" s="2" t="n">
        <v>336.66792188387797</v>
      </c>
      <c r="AW79" s="2" t="n">
        <v>6.491210636102996e-05</v>
      </c>
      <c r="AX79" s="2" t="n">
        <v>785</v>
      </c>
      <c r="AY79" s="2" t="n">
        <v>9.854351219473756e-07</v>
      </c>
      <c r="AZ79" s="2" t="s">
        <v>131</v>
      </c>
      <c r="BA79" s="2" t="n">
        <v>4.48</v>
      </c>
      <c r="BB79" s="2" t="s">
        <v>132</v>
      </c>
      <c r="BC79" s="2" t="n">
        <v>4</v>
      </c>
      <c r="BD79" s="2" t="s">
        <v>133</v>
      </c>
      <c r="BE79" s="2" t="n">
        <v>3000</v>
      </c>
      <c r="BF79" s="2" t="s">
        <v>134</v>
      </c>
      <c r="BG79" s="2" t="n">
        <v>120</v>
      </c>
    </row>
    <row r="80" customFormat="false" ht="15" hidden="false" customHeight="false" outlineLevel="0" collapsed="false">
      <c r="A80" s="2" t="s">
        <v>212</v>
      </c>
      <c r="B80" s="2" t="s">
        <v>128</v>
      </c>
      <c r="C80" s="2" t="s">
        <v>129</v>
      </c>
      <c r="D80" s="2" t="s">
        <v>130</v>
      </c>
      <c r="E80" s="2" t="n">
        <v>1</v>
      </c>
      <c r="F80" s="2" t="n">
        <v>714.8181029033261</v>
      </c>
      <c r="G80" s="2" t="n">
        <v>312.4100249407437</v>
      </c>
      <c r="H80" s="2" t="n">
        <v>303.2128840557551</v>
      </c>
      <c r="I80" s="2" t="n">
        <v>3.257152820822901</v>
      </c>
      <c r="J80" s="2" t="n">
        <v>0.0022087483376648127</v>
      </c>
      <c r="K80" s="2" t="n">
        <v>0.00018406236147206772</v>
      </c>
      <c r="L80" s="2" t="n">
        <v>22.077358723763986</v>
      </c>
      <c r="M80" s="2" t="n">
        <v>0.46898544927701424</v>
      </c>
      <c r="N80" s="2" t="n">
        <v>0.8303494114967831</v>
      </c>
      <c r="O80" s="2" t="n">
        <v>5.198875</v>
      </c>
      <c r="P80" s="2" t="n">
        <v>2.4381967276100376</v>
      </c>
      <c r="Q80" s="2" t="n">
        <v>28.056939</v>
      </c>
      <c r="R80" s="2" t="n">
        <v>6.171049427994423</v>
      </c>
      <c r="S80" s="2" t="n">
        <v>62.676430061100426</v>
      </c>
      <c r="T80" s="2" t="n">
        <v>133.64258988785713</v>
      </c>
      <c r="U80" s="2" t="n">
        <v>0.0005441640230191218</v>
      </c>
      <c r="V80" s="2" t="n">
        <v>30.014892887299485</v>
      </c>
      <c r="W80" s="2" t="n">
        <v>6.64948292577835e-05</v>
      </c>
      <c r="X80" s="2" t="n">
        <v>463.85047070068856</v>
      </c>
      <c r="Y80" s="2" t="n">
        <v>291.44764785900594</v>
      </c>
      <c r="Z80" s="2" t="n">
        <v>18.07718071912702</v>
      </c>
      <c r="AA80" s="2" t="n">
        <v>333.8524396037731</v>
      </c>
      <c r="AB80" s="2" t="n">
        <v>21.44241466302941</v>
      </c>
      <c r="AC80" s="2" t="n">
        <v>197.96855256359072</v>
      </c>
      <c r="AD80" s="2" t="n">
        <v>0.5245256645550485</v>
      </c>
      <c r="AE80" s="2" t="n">
        <v>342.9482216480732</v>
      </c>
      <c r="AF80" s="2" t="n">
        <v>351.9379805523144</v>
      </c>
      <c r="AG80" s="2" t="n">
        <v>321.9250978689454</v>
      </c>
      <c r="AH80" s="2" t="n">
        <v>30.012882683369014</v>
      </c>
      <c r="AI80" s="2" t="n">
        <v>7.701241504225811</v>
      </c>
      <c r="AJ80" s="2" t="n">
        <v>351.267712334671</v>
      </c>
      <c r="AK80" s="2" t="n">
        <v>351.55343040590094</v>
      </c>
      <c r="AL80" s="2" t="n">
        <v>351.8185640544153</v>
      </c>
      <c r="AM80" s="2" t="n">
        <v>13874231124.127281</v>
      </c>
      <c r="AN80" s="2" t="n">
        <v>13832931320.250708</v>
      </c>
      <c r="AO80" s="2" t="n">
        <v>343.2039133698288</v>
      </c>
      <c r="AP80" s="2" t="n">
        <v>244.91304852996356</v>
      </c>
      <c r="AQ80" s="2" t="n">
        <v>6.365439168426359</v>
      </c>
      <c r="AR80" s="2" t="n">
        <v>34.86253469835314</v>
      </c>
      <c r="AS80" s="2" t="n">
        <v>5.716320768389507</v>
      </c>
      <c r="AT80" s="2" t="n">
        <v>2.237555677808847</v>
      </c>
      <c r="AU80" s="2" t="n">
        <v>303.90273422461155</v>
      </c>
      <c r="AV80" s="2" t="n">
        <v>252.6307338767666</v>
      </c>
      <c r="AW80" s="2" t="n">
        <v>8.258824620968503e-05</v>
      </c>
      <c r="AX80" s="2" t="n">
        <v>729</v>
      </c>
      <c r="AY80" s="2" t="n">
        <v>9.821684443522827e-07</v>
      </c>
      <c r="AZ80" s="2" t="s">
        <v>131</v>
      </c>
      <c r="BA80" s="2" t="n">
        <v>4.48</v>
      </c>
      <c r="BB80" s="2" t="s">
        <v>132</v>
      </c>
      <c r="BC80" s="2" t="n">
        <v>4</v>
      </c>
      <c r="BD80" s="2" t="s">
        <v>133</v>
      </c>
      <c r="BE80" s="2" t="n">
        <v>3000</v>
      </c>
      <c r="BF80" s="2" t="s">
        <v>134</v>
      </c>
      <c r="BG80" s="2" t="n">
        <v>120</v>
      </c>
    </row>
    <row r="81" customFormat="false" ht="15" hidden="false" customHeight="false" outlineLevel="0" collapsed="false">
      <c r="A81" s="2" t="s">
        <v>213</v>
      </c>
      <c r="B81" s="2" t="s">
        <v>128</v>
      </c>
      <c r="C81" s="2" t="s">
        <v>129</v>
      </c>
      <c r="D81" s="2" t="s">
        <v>130</v>
      </c>
      <c r="E81" s="2" t="n">
        <v>1</v>
      </c>
      <c r="F81" s="2" t="n">
        <v>782.8822847730177</v>
      </c>
      <c r="G81" s="2" t="n">
        <v>290.7940573537935</v>
      </c>
      <c r="H81" s="2" t="n">
        <v>293.98202861883925</v>
      </c>
      <c r="I81" s="2" t="n">
        <v>0.03870524549779805</v>
      </c>
      <c r="J81" s="2" t="n">
        <v>0.004015846669850334</v>
      </c>
      <c r="K81" s="2" t="n">
        <v>0.0003346538891541945</v>
      </c>
      <c r="L81" s="2" t="n">
        <v>26.175682696446827</v>
      </c>
      <c r="M81" s="2" t="n">
        <v>0.9285574877424297</v>
      </c>
      <c r="N81" s="2" t="n">
        <v>1.6028161114264592</v>
      </c>
      <c r="O81" s="2" t="n">
        <v>5.198875</v>
      </c>
      <c r="P81" s="2" t="n">
        <v>4.827454309086924</v>
      </c>
      <c r="Q81" s="2" t="n">
        <v>28.056939</v>
      </c>
      <c r="R81" s="2" t="n">
        <v>24.191226113289844</v>
      </c>
      <c r="S81" s="2" t="n">
        <v>69.70813035962897</v>
      </c>
      <c r="T81" s="2" t="n">
        <v>75.07142129574332</v>
      </c>
      <c r="U81" s="2" t="n">
        <v>0.0008895728699417498</v>
      </c>
      <c r="V81" s="2" t="n">
        <v>16.5043563312325</v>
      </c>
      <c r="W81" s="2" t="n">
        <v>6.647839960963222e-05</v>
      </c>
      <c r="X81" s="2" t="n">
        <v>508.0177947652045</v>
      </c>
      <c r="Y81" s="2" t="n">
        <v>278.24043994793885</v>
      </c>
      <c r="Z81" s="2" t="n">
        <v>5.847079932891633</v>
      </c>
      <c r="AA81" s="2" t="n">
        <v>305.586850313004</v>
      </c>
      <c r="AB81" s="2" t="n">
        <v>14.792792959210487</v>
      </c>
      <c r="AC81" s="2" t="n">
        <v>248.3153592738692</v>
      </c>
      <c r="AD81" s="2" t="n">
        <v>0.600721526334381</v>
      </c>
      <c r="AE81" s="2" t="n">
        <v>307.86684777069183</v>
      </c>
      <c r="AF81" s="2" t="n">
        <v>312.01393472634373</v>
      </c>
      <c r="AG81" s="2" t="n">
        <v>297.51089267803195</v>
      </c>
      <c r="AH81" s="2" t="n">
        <v>14.503042048311784</v>
      </c>
      <c r="AI81" s="2" t="n">
        <v>3.457803436499208</v>
      </c>
      <c r="AJ81" s="2" t="n">
        <v>311.5898954997911</v>
      </c>
      <c r="AK81" s="2" t="n">
        <v>311.76020578864757</v>
      </c>
      <c r="AL81" s="2" t="n">
        <v>311.93061054071467</v>
      </c>
      <c r="AM81" s="2" t="n">
        <v>8990383005.679888</v>
      </c>
      <c r="AN81" s="2" t="n">
        <v>8983626757.45293</v>
      </c>
      <c r="AO81" s="2" t="n">
        <v>307.9247152261762</v>
      </c>
      <c r="AP81" s="2" t="n">
        <v>268.233395636028</v>
      </c>
      <c r="AQ81" s="2" t="n">
        <v>2.247357542507435</v>
      </c>
      <c r="AR81" s="2" t="n">
        <v>15.673015965075182</v>
      </c>
      <c r="AS81" s="2" t="n">
        <v>1.9974683717903592</v>
      </c>
      <c r="AT81" s="2" t="n">
        <v>2.7168919741512463</v>
      </c>
      <c r="AU81" s="2" t="n">
        <v>290.31331779798563</v>
      </c>
      <c r="AV81" s="2" t="n">
        <v>199.51075384553818</v>
      </c>
      <c r="AW81" s="2" t="n">
        <v>7.270246957382806e-05</v>
      </c>
      <c r="AX81" s="2" t="n">
        <v>311</v>
      </c>
      <c r="AY81" s="2" t="n">
        <v>9.593632626092585e-07</v>
      </c>
      <c r="AZ81" s="2" t="s">
        <v>131</v>
      </c>
      <c r="BA81" s="2" t="n">
        <v>4.48</v>
      </c>
      <c r="BB81" s="2" t="s">
        <v>132</v>
      </c>
      <c r="BC81" s="2" t="n">
        <v>4</v>
      </c>
      <c r="BD81" s="2" t="s">
        <v>133</v>
      </c>
      <c r="BE81" s="2" t="n">
        <v>3000</v>
      </c>
      <c r="BF81" s="2" t="s">
        <v>134</v>
      </c>
      <c r="BG81" s="2" t="n">
        <v>120</v>
      </c>
    </row>
    <row r="82" customFormat="false" ht="15" hidden="false" customHeight="false" outlineLevel="0" collapsed="false">
      <c r="A82" s="2" t="s">
        <v>214</v>
      </c>
      <c r="B82" s="2" t="s">
        <v>128</v>
      </c>
      <c r="C82" s="2" t="s">
        <v>129</v>
      </c>
      <c r="D82" s="2" t="s">
        <v>130</v>
      </c>
      <c r="E82" s="2" t="n">
        <v>1</v>
      </c>
      <c r="F82" s="2" t="n">
        <v>817.7127149495946</v>
      </c>
      <c r="G82" s="2" t="n">
        <v>328.71827584869766</v>
      </c>
      <c r="H82" s="2" t="n">
        <v>306.0663986186383</v>
      </c>
      <c r="I82" s="2" t="n">
        <v>1.8121349404397893</v>
      </c>
      <c r="J82" s="2" t="n">
        <v>0.0038823962537956488</v>
      </c>
      <c r="K82" s="2" t="n">
        <v>0.0003235330211496374</v>
      </c>
      <c r="L82" s="2" t="n">
        <v>28.5345388923311</v>
      </c>
      <c r="M82" s="2" t="n">
        <v>0.42728891638625577</v>
      </c>
      <c r="N82" s="2" t="n">
        <v>1.4357199719550677</v>
      </c>
      <c r="O82" s="2" t="n">
        <v>5.198875</v>
      </c>
      <c r="P82" s="2" t="n">
        <v>2.2214216651775955</v>
      </c>
      <c r="Q82" s="2" t="n">
        <v>28.056939</v>
      </c>
      <c r="R82" s="2" t="n">
        <v>5.1225185903680295</v>
      </c>
      <c r="S82" s="2" t="n">
        <v>134.96845976952108</v>
      </c>
      <c r="T82" s="2" t="n">
        <v>315.8716610554762</v>
      </c>
      <c r="U82" s="2" t="n">
        <v>0.0004441763274679196</v>
      </c>
      <c r="V82" s="2" t="n">
        <v>38.81218867092821</v>
      </c>
      <c r="W82" s="2" t="n">
        <v>0.00015113770902469567</v>
      </c>
      <c r="X82" s="2" t="n">
        <v>530.6195047197964</v>
      </c>
      <c r="Y82" s="2" t="n">
        <v>295.571501475876</v>
      </c>
      <c r="Z82" s="2" t="n">
        <v>12.5861127736712</v>
      </c>
      <c r="AA82" s="2" t="n">
        <v>343.11080000110843</v>
      </c>
      <c r="AB82" s="2" t="n">
        <v>14.392524152410772</v>
      </c>
      <c r="AC82" s="2" t="n">
        <v>233.56787414128885</v>
      </c>
      <c r="AD82" s="2" t="n">
        <v>0.5409765433598932</v>
      </c>
      <c r="AE82" s="2" t="n">
        <v>345.7688019219286</v>
      </c>
      <c r="AF82" s="2" t="n">
        <v>350.1140859587302</v>
      </c>
      <c r="AG82" s="2" t="n">
        <v>335.030121150184</v>
      </c>
      <c r="AH82" s="2" t="n">
        <v>15.08396480854617</v>
      </c>
      <c r="AI82" s="2" t="n">
        <v>3.6393872900480333</v>
      </c>
      <c r="AJ82" s="2" t="n">
        <v>349.6875925804587</v>
      </c>
      <c r="AK82" s="2" t="n">
        <v>349.85974755150227</v>
      </c>
      <c r="AL82" s="2" t="n">
        <v>350.03245758733976</v>
      </c>
      <c r="AM82" s="2" t="n">
        <v>14303094432.18896</v>
      </c>
      <c r="AN82" s="2" t="n">
        <v>14293652530.638681</v>
      </c>
      <c r="AO82" s="2" t="n">
        <v>345.82588856548307</v>
      </c>
      <c r="AP82" s="2" t="n">
        <v>280.1670984920525</v>
      </c>
      <c r="AQ82" s="2" t="n">
        <v>6.4312423832556025</v>
      </c>
      <c r="AR82" s="2" t="n">
        <v>34.45619344270889</v>
      </c>
      <c r="AS82" s="2" t="n">
        <v>5.711582845629364</v>
      </c>
      <c r="AT82" s="2" t="n">
        <v>2.2229411668289845</v>
      </c>
      <c r="AU82" s="2" t="n">
        <v>307.1784102774794</v>
      </c>
      <c r="AV82" s="2" t="n">
        <v>201.95045130729517</v>
      </c>
      <c r="AW82" s="2" t="n">
        <v>7.512814440099382e-05</v>
      </c>
      <c r="AX82" s="2" t="n">
        <v>346</v>
      </c>
      <c r="AY82" s="2" t="n">
        <v>9.761498631633003e-07</v>
      </c>
      <c r="AZ82" s="2" t="s">
        <v>131</v>
      </c>
      <c r="BA82" s="2" t="n">
        <v>4.48</v>
      </c>
      <c r="BB82" s="2" t="s">
        <v>132</v>
      </c>
      <c r="BC82" s="2" t="n">
        <v>4</v>
      </c>
      <c r="BD82" s="2" t="s">
        <v>133</v>
      </c>
      <c r="BE82" s="2" t="n">
        <v>3000</v>
      </c>
      <c r="BF82" s="2" t="s">
        <v>134</v>
      </c>
      <c r="BG82" s="2" t="n">
        <v>120</v>
      </c>
    </row>
    <row r="83" customFormat="false" ht="15" hidden="false" customHeight="false" outlineLevel="0" collapsed="false">
      <c r="A83" s="2" t="s">
        <v>215</v>
      </c>
      <c r="B83" s="2" t="s">
        <v>128</v>
      </c>
      <c r="C83" s="2" t="s">
        <v>129</v>
      </c>
      <c r="D83" s="2" t="s">
        <v>130</v>
      </c>
      <c r="E83" s="2" t="n">
        <v>1</v>
      </c>
      <c r="F83" s="2" t="n">
        <v>869.5122304910899</v>
      </c>
      <c r="G83" s="2" t="n">
        <v>330.4186489395952</v>
      </c>
      <c r="H83" s="2" t="n">
        <v>310.2453012018009</v>
      </c>
      <c r="I83" s="2" t="n">
        <v>1.313973845299512</v>
      </c>
      <c r="J83" s="2" t="n">
        <v>0.001951890022557539</v>
      </c>
      <c r="K83" s="2" t="n">
        <v>0.0001626575018797949</v>
      </c>
      <c r="L83" s="2" t="n">
        <v>36.287418770556584</v>
      </c>
      <c r="M83" s="2" t="n">
        <v>0.7926667085063208</v>
      </c>
      <c r="N83" s="2" t="n">
        <v>1.8176757284783696</v>
      </c>
      <c r="O83" s="2" t="n">
        <v>5.198875</v>
      </c>
      <c r="P83" s="2" t="n">
        <v>4.120975134185799</v>
      </c>
      <c r="Q83" s="2" t="n">
        <v>28.056939</v>
      </c>
      <c r="R83" s="2" t="n">
        <v>17.628750243241818</v>
      </c>
      <c r="S83" s="2" t="n">
        <v>76.49636819077281</v>
      </c>
      <c r="T83" s="2" t="n">
        <v>96.50508513839374</v>
      </c>
      <c r="U83" s="2" t="n">
        <v>0.0003940055768243347</v>
      </c>
      <c r="V83" s="2" t="n">
        <v>4.508764210798844</v>
      </c>
      <c r="W83" s="2" t="n">
        <v>8.827093156592558e-06</v>
      </c>
      <c r="X83" s="2" t="n">
        <v>564.2325729512816</v>
      </c>
      <c r="Y83" s="2" t="n">
        <v>301.645531863483</v>
      </c>
      <c r="Z83" s="2" t="n">
        <v>10.693100612138146</v>
      </c>
      <c r="AA83" s="2" t="n">
        <v>358.17103689903826</v>
      </c>
      <c r="AB83" s="2" t="n">
        <v>27.75238795944307</v>
      </c>
      <c r="AC83" s="2" t="n">
        <v>226.42896628956453</v>
      </c>
      <c r="AD83" s="2" t="n">
        <v>0.49319920312400456</v>
      </c>
      <c r="AE83" s="2" t="n">
        <v>371.9011647985579</v>
      </c>
      <c r="AF83" s="2" t="n">
        <v>384.0874703125411</v>
      </c>
      <c r="AG83" s="2" t="n">
        <v>343.5865179891191</v>
      </c>
      <c r="AH83" s="2" t="n">
        <v>40.500952323421984</v>
      </c>
      <c r="AI83" s="2" t="n">
        <v>10.605439387825813</v>
      </c>
      <c r="AJ83" s="2" t="n">
        <v>383.4157668022615</v>
      </c>
      <c r="AK83" s="2" t="n">
        <v>383.6953267094508</v>
      </c>
      <c r="AL83" s="2" t="n">
        <v>383.969710944275</v>
      </c>
      <c r="AM83" s="2" t="n">
        <v>19221607493.58766</v>
      </c>
      <c r="AN83" s="2" t="n">
        <v>19129787876.054276</v>
      </c>
      <c r="AO83" s="2" t="n">
        <v>372.3466288391238</v>
      </c>
      <c r="AP83" s="2" t="n">
        <v>297.91479851827665</v>
      </c>
      <c r="AQ83" s="2" t="n">
        <v>11.258415772983488</v>
      </c>
      <c r="AR83" s="2" t="n">
        <v>51.35740225613285</v>
      </c>
      <c r="AS83" s="2" t="n">
        <v>8.869804937539303</v>
      </c>
      <c r="AT83" s="2" t="n">
        <v>2.1958955056080267</v>
      </c>
      <c r="AU83" s="2" t="n">
        <v>314.38168661821163</v>
      </c>
      <c r="AV83" s="2" t="n">
        <v>312.4141392858562</v>
      </c>
      <c r="AW83" s="2" t="n">
        <v>7.040482890969899e-05</v>
      </c>
      <c r="AX83" s="2" t="n">
        <v>877</v>
      </c>
      <c r="AY83" s="2" t="n">
        <v>9.942714314092882e-07</v>
      </c>
      <c r="AZ83" s="2" t="s">
        <v>131</v>
      </c>
      <c r="BA83" s="2" t="n">
        <v>4.48</v>
      </c>
      <c r="BB83" s="2" t="s">
        <v>132</v>
      </c>
      <c r="BC83" s="2" t="n">
        <v>4</v>
      </c>
      <c r="BD83" s="2" t="s">
        <v>133</v>
      </c>
      <c r="BE83" s="2" t="n">
        <v>3000</v>
      </c>
      <c r="BF83" s="2" t="s">
        <v>134</v>
      </c>
      <c r="BG83" s="2" t="n">
        <v>120</v>
      </c>
    </row>
    <row r="84" customFormat="false" ht="15" hidden="false" customHeight="false" outlineLevel="0" collapsed="false">
      <c r="A84" s="2" t="s">
        <v>216</v>
      </c>
      <c r="B84" s="2" t="s">
        <v>128</v>
      </c>
      <c r="C84" s="2" t="s">
        <v>129</v>
      </c>
      <c r="D84" s="2" t="s">
        <v>130</v>
      </c>
      <c r="E84" s="2" t="n">
        <v>1</v>
      </c>
      <c r="F84" s="2" t="n">
        <v>406.7253863748329</v>
      </c>
      <c r="G84" s="2" t="n">
        <v>308.00612877747545</v>
      </c>
      <c r="H84" s="2" t="n">
        <v>299.16730201486916</v>
      </c>
      <c r="I84" s="2" t="n">
        <v>2.504706911099875</v>
      </c>
      <c r="J84" s="2" t="n">
        <v>0.0014312183724453187</v>
      </c>
      <c r="K84" s="2" t="n">
        <v>0.00011926819770377655</v>
      </c>
      <c r="L84" s="2" t="n">
        <v>30.72723611260912</v>
      </c>
      <c r="M84" s="2" t="n">
        <v>0.5567560541055047</v>
      </c>
      <c r="N84" s="2" t="n">
        <v>1.545179675653558</v>
      </c>
      <c r="O84" s="2" t="n">
        <v>5.198875</v>
      </c>
      <c r="P84" s="2" t="n">
        <v>2.8945051307877554</v>
      </c>
      <c r="Q84" s="2" t="n">
        <v>28.056939</v>
      </c>
      <c r="R84" s="2" t="n">
        <v>8.697014303627794</v>
      </c>
      <c r="S84" s="2" t="n">
        <v>35.93247567059673</v>
      </c>
      <c r="T84" s="2" t="n">
        <v>64.5389940632555</v>
      </c>
      <c r="U84" s="2" t="n">
        <v>0.0006150445917036067</v>
      </c>
      <c r="V84" s="2" t="n">
        <v>10.570566681132627</v>
      </c>
      <c r="W84" s="2" t="n">
        <v>1.5174312177728538e-05</v>
      </c>
      <c r="X84" s="2" t="n">
        <v>263.92695029633364</v>
      </c>
      <c r="Y84" s="2" t="n">
        <v>285.6342389129517</v>
      </c>
      <c r="Z84" s="2" t="n">
        <v>15.217886262179526</v>
      </c>
      <c r="AA84" s="2" t="n">
        <v>324.3848197852999</v>
      </c>
      <c r="AB84" s="2" t="n">
        <v>16.378691007824443</v>
      </c>
      <c r="AC84" s="2" t="n">
        <v>97.98540097567368</v>
      </c>
      <c r="AD84" s="2" t="n">
        <v>0.4562744720531145</v>
      </c>
      <c r="AE84" s="2" t="n">
        <v>334.0026074023333</v>
      </c>
      <c r="AF84" s="2" t="n">
        <v>341.556170704423</v>
      </c>
      <c r="AG84" s="2" t="n">
        <v>316.256806587661</v>
      </c>
      <c r="AH84" s="2" t="n">
        <v>25.29936411676198</v>
      </c>
      <c r="AI84" s="2" t="n">
        <v>6.654564515826204</v>
      </c>
      <c r="AJ84" s="2" t="n">
        <v>341.199728732314</v>
      </c>
      <c r="AK84" s="2" t="n">
        <v>341.3620212836083</v>
      </c>
      <c r="AL84" s="2" t="n">
        <v>341.4964771303011</v>
      </c>
      <c r="AM84" s="2" t="n">
        <v>12474370203.21966</v>
      </c>
      <c r="AN84" s="2" t="n">
        <v>12445129744.707127</v>
      </c>
      <c r="AO84" s="2" t="n">
        <v>334.1986237632712</v>
      </c>
      <c r="AP84" s="2" t="n">
        <v>139.35342975646418</v>
      </c>
      <c r="AQ84" s="2" t="n">
        <v>5.308734912328904</v>
      </c>
      <c r="AR84" s="2" t="n">
        <v>31.047690745467523</v>
      </c>
      <c r="AS84" s="2" t="n">
        <v>5.011402739360385</v>
      </c>
      <c r="AT84" s="2" t="n">
        <v>2.249113033059629</v>
      </c>
      <c r="AU84" s="2" t="n">
        <v>299.2296848647491</v>
      </c>
      <c r="AV84" s="2" t="n">
        <v>147.9885420159387</v>
      </c>
      <c r="AW84" s="2" t="n">
        <v>0.00014499171191262542</v>
      </c>
      <c r="AX84" s="2" t="n">
        <v>1074</v>
      </c>
      <c r="AY84" s="2" t="n">
        <v>9.91579440778878e-07</v>
      </c>
      <c r="AZ84" s="2" t="s">
        <v>131</v>
      </c>
      <c r="BA84" s="2" t="n">
        <v>4.48</v>
      </c>
      <c r="BB84" s="2" t="s">
        <v>132</v>
      </c>
      <c r="BC84" s="2" t="n">
        <v>4</v>
      </c>
      <c r="BD84" s="2" t="s">
        <v>133</v>
      </c>
      <c r="BE84" s="2" t="n">
        <v>3000</v>
      </c>
      <c r="BF84" s="2" t="s">
        <v>134</v>
      </c>
      <c r="BG84" s="2" t="n">
        <v>120</v>
      </c>
    </row>
    <row r="85" customFormat="false" ht="15" hidden="false" customHeight="false" outlineLevel="0" collapsed="false">
      <c r="A85" s="2" t="s">
        <v>217</v>
      </c>
      <c r="B85" s="2" t="s">
        <v>128</v>
      </c>
      <c r="C85" s="2" t="s">
        <v>129</v>
      </c>
      <c r="D85" s="2" t="s">
        <v>130</v>
      </c>
      <c r="E85" s="2" t="n">
        <v>1</v>
      </c>
      <c r="F85" s="2" t="n">
        <v>762.2330277669787</v>
      </c>
      <c r="G85" s="2" t="n">
        <v>325.64237690952456</v>
      </c>
      <c r="H85" s="2" t="n">
        <v>290.0636947950302</v>
      </c>
      <c r="I85" s="2" t="n">
        <v>0.5042379016290078</v>
      </c>
      <c r="J85" s="2" t="n">
        <v>0.003768291839555993</v>
      </c>
      <c r="K85" s="2" t="n">
        <v>0.0003140243199629994</v>
      </c>
      <c r="L85" s="2" t="n">
        <v>33.02682852923413</v>
      </c>
      <c r="M85" s="2" t="n">
        <v>0.5498485767832646</v>
      </c>
      <c r="N85" s="2" t="n">
        <v>0.804662293443466</v>
      </c>
      <c r="O85" s="2" t="n">
        <v>5.198875</v>
      </c>
      <c r="P85" s="2" t="n">
        <v>2.858594019624095</v>
      </c>
      <c r="Q85" s="2" t="n">
        <v>28.056939</v>
      </c>
      <c r="R85" s="2" t="n">
        <v>8.482551371666649</v>
      </c>
      <c r="S85" s="2" t="n">
        <v>123.57386926801621</v>
      </c>
      <c r="T85" s="2" t="n">
        <v>224.74163703569184</v>
      </c>
      <c r="U85" s="2" t="n">
        <v>0.00047087510075760646</v>
      </c>
      <c r="V85" s="2" t="n">
        <v>30.09439963958597</v>
      </c>
      <c r="W85" s="2" t="n">
        <v>0.00011374571773138277</v>
      </c>
      <c r="X85" s="2" t="n">
        <v>494.61834734918676</v>
      </c>
      <c r="Y85" s="2" t="n">
        <v>272.6962336521644</v>
      </c>
      <c r="Z85" s="2" t="n">
        <v>7.6161040261902295</v>
      </c>
      <c r="AA85" s="2" t="n">
        <v>338.4880508579808</v>
      </c>
      <c r="AB85" s="2" t="n">
        <v>12.845673948456238</v>
      </c>
      <c r="AC85" s="2" t="n">
        <v>202.33811795070022</v>
      </c>
      <c r="AD85" s="2" t="n">
        <v>0.5027545626106603</v>
      </c>
      <c r="AE85" s="2" t="n">
        <v>340.9688487348227</v>
      </c>
      <c r="AF85" s="2" t="n">
        <v>344.8419201164002</v>
      </c>
      <c r="AG85" s="2" t="n">
        <v>331.35859072182313</v>
      </c>
      <c r="AH85" s="2" t="n">
        <v>13.483329394577083</v>
      </c>
      <c r="AI85" s="2" t="n">
        <v>3.265310094626075</v>
      </c>
      <c r="AJ85" s="2" t="n">
        <v>344.48167852141813</v>
      </c>
      <c r="AK85" s="2" t="n">
        <v>344.6253042797825</v>
      </c>
      <c r="AL85" s="2" t="n">
        <v>344.7719978513958</v>
      </c>
      <c r="AM85" s="2" t="n">
        <v>13523724386.476904</v>
      </c>
      <c r="AN85" s="2" t="n">
        <v>13516330820.43125</v>
      </c>
      <c r="AO85" s="2" t="n">
        <v>341.0154675024567</v>
      </c>
      <c r="AP85" s="2" t="n">
        <v>261.15848740037063</v>
      </c>
      <c r="AQ85" s="2" t="n">
        <v>7.4867711900186995</v>
      </c>
      <c r="AR85" s="2" t="n">
        <v>44.01018207332723</v>
      </c>
      <c r="AS85" s="2" t="n">
        <v>7.323209171383964</v>
      </c>
      <c r="AT85" s="2" t="n">
        <v>2.1884270303663094</v>
      </c>
      <c r="AU85" s="2" t="n">
        <v>291.6781409444472</v>
      </c>
      <c r="AV85" s="2" t="n">
        <v>177.53439353146956</v>
      </c>
      <c r="AW85" s="2" t="n">
        <v>8.025051904603422e-05</v>
      </c>
      <c r="AX85" s="2" t="n">
        <v>346</v>
      </c>
      <c r="AY85" s="2" t="n">
        <v>9.77167701421422e-07</v>
      </c>
      <c r="AZ85" s="2" t="s">
        <v>131</v>
      </c>
      <c r="BA85" s="2" t="n">
        <v>4.48</v>
      </c>
      <c r="BB85" s="2" t="s">
        <v>132</v>
      </c>
      <c r="BC85" s="2" t="n">
        <v>4</v>
      </c>
      <c r="BD85" s="2" t="s">
        <v>133</v>
      </c>
      <c r="BE85" s="2" t="n">
        <v>3000</v>
      </c>
      <c r="BF85" s="2" t="s">
        <v>134</v>
      </c>
      <c r="BG85" s="2" t="n">
        <v>120</v>
      </c>
    </row>
    <row r="86" customFormat="false" ht="15" hidden="false" customHeight="false" outlineLevel="0" collapsed="false">
      <c r="A86" s="2" t="s">
        <v>218</v>
      </c>
      <c r="B86" s="2" t="s">
        <v>128</v>
      </c>
      <c r="C86" s="2" t="s">
        <v>129</v>
      </c>
      <c r="D86" s="2" t="s">
        <v>130</v>
      </c>
      <c r="E86" s="2" t="n">
        <v>1</v>
      </c>
      <c r="F86" s="2" t="n">
        <v>578.870251913161</v>
      </c>
      <c r="G86" s="2" t="n">
        <v>295.1917615729956</v>
      </c>
      <c r="H86" s="2" t="n">
        <v>299.78883041670207</v>
      </c>
      <c r="I86" s="2" t="n">
        <v>4.687112851971675</v>
      </c>
      <c r="J86" s="2" t="n">
        <v>0.0019742711487100305</v>
      </c>
      <c r="K86" s="2" t="n">
        <v>0.00016452259572583588</v>
      </c>
      <c r="L86" s="2" t="n">
        <v>31.43020341174597</v>
      </c>
      <c r="M86" s="2" t="n">
        <v>0.7011456751751051</v>
      </c>
      <c r="N86" s="2" t="n">
        <v>1.4094414740924777</v>
      </c>
      <c r="O86" s="2" t="n">
        <v>5.198875</v>
      </c>
      <c r="P86" s="2" t="n">
        <v>3.6451687220259745</v>
      </c>
      <c r="Q86" s="2" t="n">
        <v>28.056939</v>
      </c>
      <c r="R86" s="2" t="n">
        <v>13.79293873064394</v>
      </c>
      <c r="S86" s="2" t="n">
        <v>40.10063327369223</v>
      </c>
      <c r="T86" s="2" t="n">
        <v>57.19301237032868</v>
      </c>
      <c r="U86" s="2" t="n">
        <v>0.000760227209305525</v>
      </c>
      <c r="V86" s="2" t="n">
        <v>11.734512805798458</v>
      </c>
      <c r="W86" s="2" t="n">
        <v>2.3236820538271097e-05</v>
      </c>
      <c r="X86" s="2" t="n">
        <v>375.63295855821355</v>
      </c>
      <c r="Y86" s="2" t="n">
        <v>286.52482069458705</v>
      </c>
      <c r="Z86" s="2" t="n">
        <v>23.511028837492365</v>
      </c>
      <c r="AA86" s="2" t="n">
        <v>315.5629087608076</v>
      </c>
      <c r="AB86" s="2" t="n">
        <v>20.371147187812028</v>
      </c>
      <c r="AC86" s="2" t="n">
        <v>168.11194290471514</v>
      </c>
      <c r="AD86" s="2" t="n">
        <v>0.5500262454438476</v>
      </c>
      <c r="AE86" s="2" t="n">
        <v>324.83236378260966</v>
      </c>
      <c r="AF86" s="2" t="n">
        <v>333.44883341366716</v>
      </c>
      <c r="AG86" s="2" t="n">
        <v>304.7792570424539</v>
      </c>
      <c r="AH86" s="2" t="n">
        <v>28.66957637121328</v>
      </c>
      <c r="AI86" s="2" t="n">
        <v>7.438561777883539</v>
      </c>
      <c r="AJ86" s="2" t="n">
        <v>332.92002462388007</v>
      </c>
      <c r="AK86" s="2" t="n">
        <v>333.1380599655178</v>
      </c>
      <c r="AL86" s="2" t="n">
        <v>333.35194736103585</v>
      </c>
      <c r="AM86" s="2" t="n">
        <v>11168194416.631638</v>
      </c>
      <c r="AN86" s="2" t="n">
        <v>11133639880.356213</v>
      </c>
      <c r="AO86" s="2" t="n">
        <v>325.08410965815295</v>
      </c>
      <c r="AP86" s="2" t="n">
        <v>198.33420211873675</v>
      </c>
      <c r="AQ86" s="2" t="n">
        <v>3.753846657036196</v>
      </c>
      <c r="AR86" s="2" t="n">
        <v>22.865454031361445</v>
      </c>
      <c r="AS86" s="2" t="n">
        <v>3.6027596232395034</v>
      </c>
      <c r="AT86" s="2" t="n">
        <v>2.285585123431683</v>
      </c>
      <c r="AU86" s="2" t="n">
        <v>299.2234169421657</v>
      </c>
      <c r="AV86" s="2" t="n">
        <v>221.73990810318313</v>
      </c>
      <c r="AW86" s="2" t="n">
        <v>0.00010009396000178418</v>
      </c>
      <c r="AX86" s="2" t="n">
        <v>791</v>
      </c>
      <c r="AY86" s="2" t="n">
        <v>9.884055884867848e-07</v>
      </c>
      <c r="AZ86" s="2" t="s">
        <v>131</v>
      </c>
      <c r="BA86" s="2" t="n">
        <v>4.48</v>
      </c>
      <c r="BB86" s="2" t="s">
        <v>132</v>
      </c>
      <c r="BC86" s="2" t="n">
        <v>4</v>
      </c>
      <c r="BD86" s="2" t="s">
        <v>133</v>
      </c>
      <c r="BE86" s="2" t="n">
        <v>3000</v>
      </c>
      <c r="BF86" s="2" t="s">
        <v>134</v>
      </c>
      <c r="BG86" s="2" t="n">
        <v>120</v>
      </c>
    </row>
    <row r="87" customFormat="false" ht="15" hidden="false" customHeight="false" outlineLevel="0" collapsed="false">
      <c r="A87" s="2" t="s">
        <v>219</v>
      </c>
      <c r="B87" s="2" t="s">
        <v>128</v>
      </c>
      <c r="C87" s="2" t="s">
        <v>129</v>
      </c>
      <c r="D87" s="2" t="s">
        <v>130</v>
      </c>
      <c r="E87" s="2" t="n">
        <v>1</v>
      </c>
      <c r="F87" s="2" t="n">
        <v>604.6497254265487</v>
      </c>
      <c r="G87" s="2" t="n">
        <v>295.40155465562555</v>
      </c>
      <c r="H87" s="2" t="n">
        <v>302.17807467165505</v>
      </c>
      <c r="I87" s="2" t="n">
        <v>0.12650212669628474</v>
      </c>
      <c r="J87" s="2" t="n">
        <v>0.0038978894485139316</v>
      </c>
      <c r="K87" s="2" t="n">
        <v>0.0003248241207094943</v>
      </c>
      <c r="L87" s="2" t="n">
        <v>29.45338146109527</v>
      </c>
      <c r="M87" s="2" t="n">
        <v>0.4980388218075956</v>
      </c>
      <c r="N87" s="2" t="n">
        <v>1.2546231725153825</v>
      </c>
      <c r="O87" s="2" t="n">
        <v>5.198875</v>
      </c>
      <c r="P87" s="2" t="n">
        <v>2.589241579724964</v>
      </c>
      <c r="Q87" s="2" t="n">
        <v>28.056939</v>
      </c>
      <c r="R87" s="2" t="n">
        <v>6.95931800624476</v>
      </c>
      <c r="S87" s="2" t="n">
        <v>72.67042525415974</v>
      </c>
      <c r="T87" s="2" t="n">
        <v>145.9131739778994</v>
      </c>
      <c r="U87" s="2" t="n">
        <v>0.0008282465918481837</v>
      </c>
      <c r="V87" s="2" t="n">
        <v>55.22608276652591</v>
      </c>
      <c r="W87" s="2" t="n">
        <v>0.0002159129040104297</v>
      </c>
      <c r="X87" s="2" t="n">
        <v>392.3614393773654</v>
      </c>
      <c r="Y87" s="2" t="n">
        <v>289.95693633145754</v>
      </c>
      <c r="Z87" s="2" t="n">
        <v>6.180708081445882</v>
      </c>
      <c r="AA87" s="2" t="n">
        <v>307.3721437295905</v>
      </c>
      <c r="AB87" s="2" t="n">
        <v>11.970589073964959</v>
      </c>
      <c r="AC87" s="2" t="n">
        <v>195.0389372875194</v>
      </c>
      <c r="AD87" s="2" t="n">
        <v>0.6109188694666506</v>
      </c>
      <c r="AE87" s="2" t="n">
        <v>309.33161189469536</v>
      </c>
      <c r="AF87" s="2" t="n">
        <v>312.74787202924665</v>
      </c>
      <c r="AG87" s="2" t="n">
        <v>300.8428597324067</v>
      </c>
      <c r="AH87" s="2" t="n">
        <v>11.90501229683997</v>
      </c>
      <c r="AI87" s="2" t="n">
        <v>2.8603958531914593</v>
      </c>
      <c r="AJ87" s="2" t="n">
        <v>312.41477178525656</v>
      </c>
      <c r="AK87" s="2" t="n">
        <v>312.55029230957</v>
      </c>
      <c r="AL87" s="2" t="n">
        <v>312.6825715361751</v>
      </c>
      <c r="AM87" s="2" t="n">
        <v>9160490955.105183</v>
      </c>
      <c r="AN87" s="2" t="n">
        <v>9155819421.57554</v>
      </c>
      <c r="AO87" s="2" t="n">
        <v>309.37106157483436</v>
      </c>
      <c r="AP87" s="2" t="n">
        <v>207.16683999124893</v>
      </c>
      <c r="AQ87" s="2" t="n">
        <v>1.4511624706673836</v>
      </c>
      <c r="AR87" s="2" t="n">
        <v>9.64742839054211</v>
      </c>
      <c r="AS87" s="2" t="n">
        <v>1.0291069831861204</v>
      </c>
      <c r="AT87" s="2" t="n">
        <v>3.2109307577902304</v>
      </c>
      <c r="AU87" s="2" t="n">
        <v>298.5266446956394</v>
      </c>
      <c r="AV87" s="2" t="n">
        <v>160.17079688620947</v>
      </c>
      <c r="AW87" s="2" t="n">
        <v>9.765647280769965e-05</v>
      </c>
      <c r="AX87" s="2" t="n">
        <v>300</v>
      </c>
      <c r="AY87" s="2" t="n">
        <v>9.891178365251108e-07</v>
      </c>
      <c r="AZ87" s="2" t="s">
        <v>131</v>
      </c>
      <c r="BA87" s="2" t="n">
        <v>4.48</v>
      </c>
      <c r="BB87" s="2" t="s">
        <v>132</v>
      </c>
      <c r="BC87" s="2" t="n">
        <v>4</v>
      </c>
      <c r="BD87" s="2" t="s">
        <v>133</v>
      </c>
      <c r="BE87" s="2" t="n">
        <v>3000</v>
      </c>
      <c r="BF87" s="2" t="s">
        <v>134</v>
      </c>
      <c r="BG87" s="2" t="n">
        <v>120</v>
      </c>
    </row>
    <row r="88" customFormat="false" ht="15" hidden="false" customHeight="false" outlineLevel="0" collapsed="false">
      <c r="A88" s="2" t="s">
        <v>220</v>
      </c>
      <c r="B88" s="2" t="s">
        <v>128</v>
      </c>
      <c r="C88" s="2" t="s">
        <v>129</v>
      </c>
      <c r="D88" s="2" t="s">
        <v>130</v>
      </c>
      <c r="E88" s="2" t="n">
        <v>1</v>
      </c>
      <c r="F88" s="2" t="n">
        <v>913.0524835170876</v>
      </c>
      <c r="G88" s="2" t="n">
        <v>288.8562826344793</v>
      </c>
      <c r="H88" s="2" t="n">
        <v>294.27410301321936</v>
      </c>
      <c r="I88" s="2" t="n">
        <v>3.8511523341626774</v>
      </c>
      <c r="J88" s="2" t="n">
        <v>0.0028312233930489457</v>
      </c>
      <c r="K88" s="2" t="n">
        <v>0.0002359352827540788</v>
      </c>
      <c r="L88" s="2" t="n">
        <v>31.786439669856904</v>
      </c>
      <c r="M88" s="2" t="n">
        <v>0.5974666402653156</v>
      </c>
      <c r="N88" s="2" t="n">
        <v>1.0268515248593761</v>
      </c>
      <c r="O88" s="2" t="n">
        <v>5.198875</v>
      </c>
      <c r="P88" s="2" t="n">
        <v>3.1061543794093427</v>
      </c>
      <c r="Q88" s="2" t="n">
        <v>28.056939</v>
      </c>
      <c r="R88" s="2" t="n">
        <v>10.015384123503418</v>
      </c>
      <c r="S88" s="2" t="n">
        <v>52.09045134101574</v>
      </c>
      <c r="T88" s="2" t="n">
        <v>87.18553946021832</v>
      </c>
      <c r="U88" s="2" t="n">
        <v>0.0008392741737166607</v>
      </c>
      <c r="V88" s="2" t="n">
        <v>29.51492670573511</v>
      </c>
      <c r="W88" s="2" t="n">
        <v>8.381479531936037e-05</v>
      </c>
      <c r="X88" s="2" t="n">
        <v>592.4861479216227</v>
      </c>
      <c r="Y88" s="2" t="n">
        <v>278.6551953494347</v>
      </c>
      <c r="Z88" s="2" t="n">
        <v>20.334378869818174</v>
      </c>
      <c r="AA88" s="2" t="n">
        <v>312.6972699463875</v>
      </c>
      <c r="AB88" s="2" t="n">
        <v>23.84098731190818</v>
      </c>
      <c r="AC88" s="2" t="n">
        <v>282.1464929417845</v>
      </c>
      <c r="AD88" s="2" t="n">
        <v>0.585254810091416</v>
      </c>
      <c r="AE88" s="2" t="n">
        <v>319.6129495203595</v>
      </c>
      <c r="AF88" s="2" t="n">
        <v>327.97230431953267</v>
      </c>
      <c r="AG88" s="2" t="n">
        <v>299.7579247147261</v>
      </c>
      <c r="AH88" s="2" t="n">
        <v>28.214379604806595</v>
      </c>
      <c r="AI88" s="2" t="n">
        <v>7.076437355377879</v>
      </c>
      <c r="AJ88" s="2" t="n">
        <v>327.2856499304523</v>
      </c>
      <c r="AK88" s="2" t="n">
        <v>327.57326286671736</v>
      </c>
      <c r="AL88" s="2" t="n">
        <v>327.8457195330481</v>
      </c>
      <c r="AM88" s="2" t="n">
        <v>10465449301.36761</v>
      </c>
      <c r="AN88" s="2" t="n">
        <v>10435120487.416933</v>
      </c>
      <c r="AO88" s="2" t="n">
        <v>319.84492898293195</v>
      </c>
      <c r="AP88" s="2" t="n">
        <v>312.8326861026168</v>
      </c>
      <c r="AQ88" s="2" t="n">
        <v>3.6383706261082756</v>
      </c>
      <c r="AR88" s="2" t="n">
        <v>23.402378419032686</v>
      </c>
      <c r="AS88" s="2" t="n">
        <v>3.645243335337902</v>
      </c>
      <c r="AT88" s="2" t="n">
        <v>2.2936241419259953</v>
      </c>
      <c r="AU88" s="2" t="n">
        <v>293.4026558585336</v>
      </c>
      <c r="AV88" s="2" t="n">
        <v>296.5955531208733</v>
      </c>
      <c r="AW88" s="2" t="n">
        <v>6.415253458614155e-05</v>
      </c>
      <c r="AX88" s="2" t="n">
        <v>527</v>
      </c>
      <c r="AY88" s="2" t="n">
        <v>9.923395509758848e-07</v>
      </c>
      <c r="AZ88" s="2" t="s">
        <v>131</v>
      </c>
      <c r="BA88" s="2" t="n">
        <v>4.48</v>
      </c>
      <c r="BB88" s="2" t="s">
        <v>132</v>
      </c>
      <c r="BC88" s="2" t="n">
        <v>4</v>
      </c>
      <c r="BD88" s="2" t="s">
        <v>133</v>
      </c>
      <c r="BE88" s="2" t="n">
        <v>3000</v>
      </c>
      <c r="BF88" s="2" t="s">
        <v>134</v>
      </c>
      <c r="BG88" s="2" t="n">
        <v>120</v>
      </c>
    </row>
    <row r="89" customFormat="false" ht="15" hidden="false" customHeight="false" outlineLevel="0" collapsed="false">
      <c r="A89" s="2" t="s">
        <v>221</v>
      </c>
      <c r="B89" s="2" t="s">
        <v>128</v>
      </c>
      <c r="C89" s="2" t="s">
        <v>129</v>
      </c>
      <c r="D89" s="2" t="s">
        <v>130</v>
      </c>
      <c r="E89" s="2" t="n">
        <v>1</v>
      </c>
      <c r="F89" s="2" t="n">
        <v>895.1566764974949</v>
      </c>
      <c r="G89" s="2" t="n">
        <v>319.8816216412551</v>
      </c>
      <c r="H89" s="2" t="n">
        <v>292.9842523597807</v>
      </c>
      <c r="I89" s="2" t="n">
        <v>4.629535554775596</v>
      </c>
      <c r="J89" s="2" t="n">
        <v>0.004008421334950344</v>
      </c>
      <c r="K89" s="2" t="n">
        <v>0.000334035111245862</v>
      </c>
      <c r="L89" s="2" t="n">
        <v>36.783449293720686</v>
      </c>
      <c r="M89" s="2" t="n">
        <v>0.5660411098661491</v>
      </c>
      <c r="N89" s="2" t="n">
        <v>1.9490025548925127</v>
      </c>
      <c r="O89" s="2" t="n">
        <v>5.198875</v>
      </c>
      <c r="P89" s="2" t="n">
        <v>2.9427769750553763</v>
      </c>
      <c r="Q89" s="2" t="n">
        <v>28.056939</v>
      </c>
      <c r="R89" s="2" t="n">
        <v>8.989514465752567</v>
      </c>
      <c r="S89" s="2" t="n">
        <v>122.20760964314215</v>
      </c>
      <c r="T89" s="2" t="n">
        <v>215.89882344771812</v>
      </c>
      <c r="U89" s="2" t="n">
        <v>0.0005064807657090417</v>
      </c>
      <c r="V89" s="2" t="n">
        <v>21.108433423968666</v>
      </c>
      <c r="W89" s="2" t="n">
        <v>8.486609316350546e-05</v>
      </c>
      <c r="X89" s="2" t="n">
        <v>580.8734334759598</v>
      </c>
      <c r="Y89" s="2" t="n">
        <v>276.82511869074943</v>
      </c>
      <c r="Z89" s="2" t="n">
        <v>23.292235108147263</v>
      </c>
      <c r="AA89" s="2" t="n">
        <v>335.04866551300296</v>
      </c>
      <c r="AB89" s="2" t="n">
        <v>15.167043871747865</v>
      </c>
      <c r="AC89" s="2" t="n">
        <v>254.1268713784236</v>
      </c>
      <c r="AD89" s="2" t="n">
        <v>0.5376722370494578</v>
      </c>
      <c r="AE89" s="2" t="n">
        <v>337.65651283114835</v>
      </c>
      <c r="AF89" s="2" t="n">
        <v>342.01974540178924</v>
      </c>
      <c r="AG89" s="2" t="n">
        <v>326.8337946097764</v>
      </c>
      <c r="AH89" s="2" t="n">
        <v>15.185950792012818</v>
      </c>
      <c r="AI89" s="2" t="n">
        <v>3.6812777294799743</v>
      </c>
      <c r="AJ89" s="2" t="n">
        <v>341.6187099633548</v>
      </c>
      <c r="AK89" s="2" t="n">
        <v>341.77792065303174</v>
      </c>
      <c r="AL89" s="2" t="n">
        <v>341.9399475513043</v>
      </c>
      <c r="AM89" s="2" t="n">
        <v>13007930033.080944</v>
      </c>
      <c r="AN89" s="2" t="n">
        <v>12998718051.964521</v>
      </c>
      <c r="AO89" s="2" t="n">
        <v>337.71631986592024</v>
      </c>
      <c r="AP89" s="2" t="n">
        <v>306.7011728753068</v>
      </c>
      <c r="AQ89" s="2" t="n">
        <v>6.662984098225234</v>
      </c>
      <c r="AR89" s="2" t="n">
        <v>39.48455918621064</v>
      </c>
      <c r="AS89" s="2" t="n">
        <v>6.4265458852614215</v>
      </c>
      <c r="AT89" s="2" t="n">
        <v>2.2289568439818312</v>
      </c>
      <c r="AU89" s="2" t="n">
        <v>293.4344310902319</v>
      </c>
      <c r="AV89" s="2" t="n">
        <v>212.5309871960133</v>
      </c>
      <c r="AW89" s="2" t="n">
        <v>6.886279400293555e-05</v>
      </c>
      <c r="AX89" s="2" t="n">
        <v>332</v>
      </c>
      <c r="AY89" s="2" t="n">
        <v>9.808583172343788e-07</v>
      </c>
      <c r="AZ89" s="2" t="s">
        <v>131</v>
      </c>
      <c r="BA89" s="2" t="n">
        <v>4.48</v>
      </c>
      <c r="BB89" s="2" t="s">
        <v>132</v>
      </c>
      <c r="BC89" s="2" t="n">
        <v>4</v>
      </c>
      <c r="BD89" s="2" t="s">
        <v>133</v>
      </c>
      <c r="BE89" s="2" t="n">
        <v>3000</v>
      </c>
      <c r="BF89" s="2" t="s">
        <v>134</v>
      </c>
      <c r="BG89" s="2" t="n">
        <v>120</v>
      </c>
    </row>
    <row r="90" customFormat="false" ht="15" hidden="false" customHeight="false" outlineLevel="0" collapsed="false">
      <c r="A90" s="2" t="s">
        <v>222</v>
      </c>
      <c r="B90" s="2" t="s">
        <v>128</v>
      </c>
      <c r="C90" s="2" t="s">
        <v>129</v>
      </c>
      <c r="D90" s="2" t="s">
        <v>130</v>
      </c>
      <c r="E90" s="2" t="n">
        <v>1</v>
      </c>
      <c r="F90" s="2" t="n">
        <v>654.5634611246254</v>
      </c>
      <c r="G90" s="2" t="n">
        <v>294.7668693177051</v>
      </c>
      <c r="H90" s="2" t="n">
        <v>288.70547122825917</v>
      </c>
      <c r="I90" s="2" t="n">
        <v>4.898255941294296</v>
      </c>
      <c r="J90" s="2" t="n">
        <v>0.0026314718663920248</v>
      </c>
      <c r="K90" s="2" t="n">
        <v>0.0002192893221993354</v>
      </c>
      <c r="L90" s="2" t="n">
        <v>29.7128034802204</v>
      </c>
      <c r="M90" s="2" t="n">
        <v>0.6948444229369339</v>
      </c>
      <c r="N90" s="2" t="n">
        <v>0.5444145594097068</v>
      </c>
      <c r="O90" s="2" t="n">
        <v>5.198875</v>
      </c>
      <c r="P90" s="2" t="n">
        <v>3.6124092992962527</v>
      </c>
      <c r="Q90" s="2" t="n">
        <v>28.056939</v>
      </c>
      <c r="R90" s="2" t="n">
        <v>13.546136267097536</v>
      </c>
      <c r="S90" s="2" t="n">
        <v>51.2424725410916</v>
      </c>
      <c r="T90" s="2" t="n">
        <v>73.74668465280683</v>
      </c>
      <c r="U90" s="2" t="n">
        <v>0.0007929695225766072</v>
      </c>
      <c r="V90" s="2" t="n">
        <v>22.421556069378052</v>
      </c>
      <c r="W90" s="2" t="n">
        <v>5.917923169237682e-05</v>
      </c>
      <c r="X90" s="2" t="n">
        <v>424.75081186799724</v>
      </c>
      <c r="Y90" s="2" t="n">
        <v>270.7831269463156</v>
      </c>
      <c r="Z90" s="2" t="n">
        <v>24.313372576918322</v>
      </c>
      <c r="AA90" s="2" t="n">
        <v>312.0157581425385</v>
      </c>
      <c r="AB90" s="2" t="n">
        <v>17.248888824833443</v>
      </c>
      <c r="AC90" s="2" t="n">
        <v>189.73005649672515</v>
      </c>
      <c r="AD90" s="2" t="n">
        <v>0.5489723297357697</v>
      </c>
      <c r="AE90" s="2" t="n">
        <v>317.59638748442046</v>
      </c>
      <c r="AF90" s="2" t="n">
        <v>323.9676925254112</v>
      </c>
      <c r="AG90" s="2" t="n">
        <v>302.58149019937065</v>
      </c>
      <c r="AH90" s="2" t="n">
        <v>21.386202326040575</v>
      </c>
      <c r="AI90" s="2" t="n">
        <v>5.413281969020005</v>
      </c>
      <c r="AJ90" s="2" t="n">
        <v>323.4487466186101</v>
      </c>
      <c r="AK90" s="2" t="n">
        <v>323.67396105360547</v>
      </c>
      <c r="AL90" s="2" t="n">
        <v>323.8715881296184</v>
      </c>
      <c r="AM90" s="2" t="n">
        <v>10191801721.996868</v>
      </c>
      <c r="AN90" s="2" t="n">
        <v>10174245564.752403</v>
      </c>
      <c r="AO90" s="2" t="n">
        <v>317.73330593541954</v>
      </c>
      <c r="AP90" s="2" t="n">
        <v>224.26842866630255</v>
      </c>
      <c r="AQ90" s="2" t="n">
        <v>3.9461964106789313</v>
      </c>
      <c r="AR90" s="2" t="n">
        <v>26.435734183724634</v>
      </c>
      <c r="AS90" s="2" t="n">
        <v>4.1562436516161725</v>
      </c>
      <c r="AT90" s="2" t="n">
        <v>2.264157463007169</v>
      </c>
      <c r="AU90" s="2" t="n">
        <v>287.98878334629245</v>
      </c>
      <c r="AV90" s="2" t="n">
        <v>210.36316424515354</v>
      </c>
      <c r="AW90" s="2" t="n">
        <v>8.888502911322385e-05</v>
      </c>
      <c r="AX90" s="2" t="n">
        <v>549</v>
      </c>
      <c r="AY90" s="2" t="n">
        <v>9.929950692821876e-07</v>
      </c>
      <c r="AZ90" s="2" t="s">
        <v>131</v>
      </c>
      <c r="BA90" s="2" t="n">
        <v>4.48</v>
      </c>
      <c r="BB90" s="2" t="s">
        <v>132</v>
      </c>
      <c r="BC90" s="2" t="n">
        <v>4</v>
      </c>
      <c r="BD90" s="2" t="s">
        <v>133</v>
      </c>
      <c r="BE90" s="2" t="n">
        <v>3000</v>
      </c>
      <c r="BF90" s="2" t="s">
        <v>134</v>
      </c>
      <c r="BG90" s="2" t="n">
        <v>120</v>
      </c>
    </row>
    <row r="91" customFormat="false" ht="15" hidden="false" customHeight="false" outlineLevel="0" collapsed="false">
      <c r="A91" s="2" t="s">
        <v>223</v>
      </c>
      <c r="B91" s="2" t="s">
        <v>128</v>
      </c>
      <c r="C91" s="2" t="s">
        <v>129</v>
      </c>
      <c r="D91" s="2" t="s">
        <v>130</v>
      </c>
      <c r="E91" s="2" t="n">
        <v>1</v>
      </c>
      <c r="F91" s="2" t="n">
        <v>495.30543888896716</v>
      </c>
      <c r="G91" s="2" t="n">
        <v>313.25106482325407</v>
      </c>
      <c r="H91" s="2" t="n">
        <v>302.57859437451157</v>
      </c>
      <c r="I91" s="2" t="n">
        <v>1.2211047682777543</v>
      </c>
      <c r="J91" s="2" t="n">
        <v>0.0024194331491037683</v>
      </c>
      <c r="K91" s="2" t="n">
        <v>0.0002016194290919807</v>
      </c>
      <c r="L91" s="2" t="n">
        <v>24.134653631723772</v>
      </c>
      <c r="M91" s="2" t="n">
        <v>0.4821609180897274</v>
      </c>
      <c r="N91" s="2" t="n">
        <v>1.2829272127705251</v>
      </c>
      <c r="O91" s="2" t="n">
        <v>5.198875</v>
      </c>
      <c r="P91" s="2" t="n">
        <v>2.5066943430337316</v>
      </c>
      <c r="Q91" s="2" t="n">
        <v>28.056939</v>
      </c>
      <c r="R91" s="2" t="n">
        <v>6.522653356502587</v>
      </c>
      <c r="S91" s="2" t="n">
        <v>64.93006412613393</v>
      </c>
      <c r="T91" s="2" t="n">
        <v>134.66471812643022</v>
      </c>
      <c r="U91" s="2" t="n">
        <v>0.0005753811586717809</v>
      </c>
      <c r="V91" s="2" t="n">
        <v>25.34070896155423</v>
      </c>
      <c r="W91" s="2" t="n">
        <v>6.149463518894206e-05</v>
      </c>
      <c r="X91" s="2" t="n">
        <v>321.40716643312294</v>
      </c>
      <c r="Y91" s="2" t="n">
        <v>290.5336092403303</v>
      </c>
      <c r="Z91" s="2" t="n">
        <v>10.340198119455465</v>
      </c>
      <c r="AA91" s="2" t="n">
        <v>326.58704115123777</v>
      </c>
      <c r="AB91" s="2" t="n">
        <v>13.335976327983701</v>
      </c>
      <c r="AC91" s="2" t="n">
        <v>134.8698033909933</v>
      </c>
      <c r="AD91" s="2" t="n">
        <v>0.5157125556061662</v>
      </c>
      <c r="AE91" s="2" t="n">
        <v>331.608574618384</v>
      </c>
      <c r="AF91" s="2" t="n">
        <v>336.93735771575393</v>
      </c>
      <c r="AG91" s="2" t="n">
        <v>319.0974747541144</v>
      </c>
      <c r="AH91" s="2" t="n">
        <v>17.839882961639546</v>
      </c>
      <c r="AI91" s="2" t="n">
        <v>4.540406243710243</v>
      </c>
      <c r="AJ91" s="2" t="n">
        <v>336.5156278044342</v>
      </c>
      <c r="AK91" s="2" t="n">
        <v>336.697510464439</v>
      </c>
      <c r="AL91" s="2" t="n">
        <v>336.8620524366103</v>
      </c>
      <c r="AM91" s="2" t="n">
        <v>12105612352.160332</v>
      </c>
      <c r="AN91" s="2" t="n">
        <v>12092135565.590137</v>
      </c>
      <c r="AO91" s="2" t="n">
        <v>331.70093116264064</v>
      </c>
      <c r="AP91" s="2" t="n">
        <v>169.70298387668893</v>
      </c>
      <c r="AQ91" s="2" t="n">
        <v>4.473680763110656</v>
      </c>
      <c r="AR91" s="2" t="n">
        <v>26.183047551921746</v>
      </c>
      <c r="AS91" s="2" t="n">
        <v>4.1762493797477385</v>
      </c>
      <c r="AT91" s="2" t="n">
        <v>2.2725448720202004</v>
      </c>
      <c r="AU91" s="2" t="n">
        <v>302.28397551100045</v>
      </c>
      <c r="AV91" s="2" t="n">
        <v>161.92587537510843</v>
      </c>
      <c r="AW91" s="2" t="n">
        <v>0.00011908673916747243</v>
      </c>
      <c r="AX91" s="2" t="n">
        <v>602</v>
      </c>
      <c r="AY91" s="2" t="n">
        <v>9.913627536661807e-07</v>
      </c>
      <c r="AZ91" s="2" t="s">
        <v>131</v>
      </c>
      <c r="BA91" s="2" t="n">
        <v>4.48</v>
      </c>
      <c r="BB91" s="2" t="s">
        <v>132</v>
      </c>
      <c r="BC91" s="2" t="n">
        <v>4</v>
      </c>
      <c r="BD91" s="2" t="s">
        <v>133</v>
      </c>
      <c r="BE91" s="2" t="n">
        <v>3000</v>
      </c>
      <c r="BF91" s="2" t="s">
        <v>134</v>
      </c>
      <c r="BG91" s="2" t="n">
        <v>120</v>
      </c>
    </row>
    <row r="92" customFormat="false" ht="15" hidden="false" customHeight="false" outlineLevel="0" collapsed="false">
      <c r="A92" s="2" t="s">
        <v>224</v>
      </c>
      <c r="B92" s="2" t="s">
        <v>128</v>
      </c>
      <c r="C92" s="2" t="s">
        <v>129</v>
      </c>
      <c r="D92" s="2" t="s">
        <v>130</v>
      </c>
      <c r="E92" s="2" t="n">
        <v>1</v>
      </c>
      <c r="F92" s="2" t="n">
        <v>466.9548490837265</v>
      </c>
      <c r="G92" s="2" t="n">
        <v>292.7888096361195</v>
      </c>
      <c r="H92" s="2" t="n">
        <v>289.6194291312243</v>
      </c>
      <c r="I92" s="2" t="n">
        <v>1.5203336111852186</v>
      </c>
      <c r="J92" s="2" t="n">
        <v>0.0010846525234287125</v>
      </c>
      <c r="K92" s="2" t="n">
        <v>9.038771028572604e-05</v>
      </c>
      <c r="L92" s="2" t="n">
        <v>27.093979967397015</v>
      </c>
      <c r="M92" s="2" t="n">
        <v>0.4753005967006304</v>
      </c>
      <c r="N92" s="2" t="n">
        <v>0.8857574582201261</v>
      </c>
      <c r="O92" s="2" t="n">
        <v>5.198875</v>
      </c>
      <c r="P92" s="2" t="n">
        <v>2.4710283896719902</v>
      </c>
      <c r="Q92" s="2" t="n">
        <v>28.056939</v>
      </c>
      <c r="R92" s="2" t="n">
        <v>6.338361529182985</v>
      </c>
      <c r="S92" s="2" t="n">
        <v>21.820006595246436</v>
      </c>
      <c r="T92" s="2" t="n">
        <v>45.90780391759078</v>
      </c>
      <c r="U92" s="2" t="n">
        <v>0.000767579902306858</v>
      </c>
      <c r="V92" s="2" t="n">
        <v>19.37812231851062</v>
      </c>
      <c r="W92" s="2" t="n">
        <v>2.1081774595870407e-05</v>
      </c>
      <c r="X92" s="2" t="n">
        <v>303.01027025437367</v>
      </c>
      <c r="Y92" s="2" t="n">
        <v>272.0699754803304</v>
      </c>
      <c r="Z92" s="2" t="n">
        <v>11.47726772250383</v>
      </c>
      <c r="AA92" s="2" t="n">
        <v>316.9781209706184</v>
      </c>
      <c r="AB92" s="2" t="n">
        <v>24.18931133449894</v>
      </c>
      <c r="AC92" s="2" t="n">
        <v>109.67064988008218</v>
      </c>
      <c r="AD92" s="2" t="n">
        <v>0.4448172335599396</v>
      </c>
      <c r="AE92" s="2" t="n">
        <v>332.48002461688765</v>
      </c>
      <c r="AF92" s="2" t="n">
        <v>343.55893391464974</v>
      </c>
      <c r="AG92" s="2" t="n">
        <v>306.1593443742999</v>
      </c>
      <c r="AH92" s="2" t="n">
        <v>37.39958954034984</v>
      </c>
      <c r="AI92" s="2" t="n">
        <v>9.881602263316715</v>
      </c>
      <c r="AJ92" s="2" t="n">
        <v>343.13592055706414</v>
      </c>
      <c r="AK92" s="2" t="n">
        <v>343.3577100003318</v>
      </c>
      <c r="AL92" s="2" t="n">
        <v>343.49892163652316</v>
      </c>
      <c r="AM92" s="2" t="n">
        <v>12283357161.311491</v>
      </c>
      <c r="AN92" s="2" t="n">
        <v>12219747502.146673</v>
      </c>
      <c r="AO92" s="2" t="n">
        <v>332.9118621416186</v>
      </c>
      <c r="AP92" s="2" t="n">
        <v>159.9894226943093</v>
      </c>
      <c r="AQ92" s="2" t="n">
        <v>6.207575491857188</v>
      </c>
      <c r="AR92" s="2" t="n">
        <v>37.94507507144927</v>
      </c>
      <c r="AS92" s="2" t="n">
        <v>6.165919983717628</v>
      </c>
      <c r="AT92" s="2" t="n">
        <v>2.2235040135975006</v>
      </c>
      <c r="AU92" s="2" t="n">
        <v>289.98214073368973</v>
      </c>
      <c r="AV92" s="2" t="n">
        <v>172.55748841875692</v>
      </c>
      <c r="AW92" s="2" t="n">
        <v>0.00012733314980244598</v>
      </c>
      <c r="AX92" s="2" t="n">
        <v>1403</v>
      </c>
      <c r="AY92" s="2" t="n">
        <v>9.939831215888262e-07</v>
      </c>
      <c r="AZ92" s="2" t="s">
        <v>131</v>
      </c>
      <c r="BA92" s="2" t="n">
        <v>4.48</v>
      </c>
      <c r="BB92" s="2" t="s">
        <v>132</v>
      </c>
      <c r="BC92" s="2" t="n">
        <v>4</v>
      </c>
      <c r="BD92" s="2" t="s">
        <v>133</v>
      </c>
      <c r="BE92" s="2" t="n">
        <v>3000</v>
      </c>
      <c r="BF92" s="2" t="s">
        <v>134</v>
      </c>
      <c r="BG92" s="2" t="n">
        <v>120</v>
      </c>
    </row>
    <row r="93" customFormat="false" ht="15" hidden="false" customHeight="false" outlineLevel="0" collapsed="false">
      <c r="A93" s="2" t="s">
        <v>225</v>
      </c>
      <c r="B93" s="2" t="s">
        <v>128</v>
      </c>
      <c r="C93" s="2" t="s">
        <v>129</v>
      </c>
      <c r="D93" s="2" t="s">
        <v>130</v>
      </c>
      <c r="E93" s="2" t="n">
        <v>1</v>
      </c>
      <c r="F93" s="2" t="n">
        <v>686.7090542798117</v>
      </c>
      <c r="G93" s="2" t="n">
        <v>291.4183576368946</v>
      </c>
      <c r="H93" s="2" t="n">
        <v>310.861797427058</v>
      </c>
      <c r="I93" s="2" t="n">
        <v>0.9641943766697656</v>
      </c>
      <c r="J93" s="2" t="n">
        <v>0.0011900940314717367</v>
      </c>
      <c r="K93" s="2" t="n">
        <v>9.917450262264473e-05</v>
      </c>
      <c r="L93" s="2" t="n">
        <v>29.149383214308294</v>
      </c>
      <c r="M93" s="2" t="n">
        <v>0.9745762912589006</v>
      </c>
      <c r="N93" s="2" t="n">
        <v>1.4792109840844185</v>
      </c>
      <c r="O93" s="2" t="n">
        <v>5.198875</v>
      </c>
      <c r="P93" s="2" t="n">
        <v>5.066700316218617</v>
      </c>
      <c r="Q93" s="2" t="n">
        <v>28.056939</v>
      </c>
      <c r="R93" s="2" t="n">
        <v>26.64845113182148</v>
      </c>
      <c r="S93" s="2" t="n">
        <v>26.66616263471508</v>
      </c>
      <c r="T93" s="2" t="n">
        <v>27.361801096422415</v>
      </c>
      <c r="U93" s="2" t="n">
        <v>0.0006891418035914071</v>
      </c>
      <c r="V93" s="2" t="n">
        <v>3.517120669668459</v>
      </c>
      <c r="W93" s="2" t="n">
        <v>4.198299214582057e-06</v>
      </c>
      <c r="X93" s="2" t="n">
        <v>445.6103122855497</v>
      </c>
      <c r="Y93" s="2" t="n">
        <v>302.5450894888515</v>
      </c>
      <c r="Z93" s="2" t="n">
        <v>9.363938631345109</v>
      </c>
      <c r="AA93" s="2" t="n">
        <v>328.9067586348246</v>
      </c>
      <c r="AB93" s="2" t="n">
        <v>37.48840099793</v>
      </c>
      <c r="AC93" s="2" t="n">
        <v>186.48953911809238</v>
      </c>
      <c r="AD93" s="2" t="n">
        <v>0.5143370143324764</v>
      </c>
      <c r="AE93" s="2" t="n">
        <v>352.7963355861355</v>
      </c>
      <c r="AF93" s="2" t="n">
        <v>370.3113536423877</v>
      </c>
      <c r="AG93" s="2" t="n">
        <v>311.49199754679444</v>
      </c>
      <c r="AH93" s="2" t="n">
        <v>58.819356095593264</v>
      </c>
      <c r="AI93" s="2" t="n">
        <v>15.548628558162681</v>
      </c>
      <c r="AJ93" s="2" t="n">
        <v>369.58063090010836</v>
      </c>
      <c r="AK93" s="2" t="n">
        <v>369.93833226312574</v>
      </c>
      <c r="AL93" s="2" t="n">
        <v>370.20027291257617</v>
      </c>
      <c r="AM93" s="2" t="n">
        <v>15667866956.089495</v>
      </c>
      <c r="AN93" s="2" t="n">
        <v>15491599553.604792</v>
      </c>
      <c r="AO93" s="2" t="n">
        <v>353.7956336369152</v>
      </c>
      <c r="AP93" s="2" t="n">
        <v>235.28224488677026</v>
      </c>
      <c r="AQ93" s="2" t="n">
        <v>7.227364245464856</v>
      </c>
      <c r="AR93" s="2" t="n">
        <v>35.53243537113461</v>
      </c>
      <c r="AS93" s="2" t="n">
        <v>6.032697490857623</v>
      </c>
      <c r="AT93" s="2" t="n">
        <v>2.2036829699098246</v>
      </c>
      <c r="AU93" s="2" t="n">
        <v>313.00057000532314</v>
      </c>
      <c r="AV93" s="2" t="n">
        <v>293.85289504417307</v>
      </c>
      <c r="AW93" s="2" t="n">
        <v>8.862338422877508e-05</v>
      </c>
      <c r="AX93" s="2" t="n">
        <v>1397</v>
      </c>
      <c r="AY93" s="2" t="n">
        <v>9.996518315347203e-07</v>
      </c>
      <c r="AZ93" s="2" t="s">
        <v>131</v>
      </c>
      <c r="BA93" s="2" t="n">
        <v>4.48</v>
      </c>
      <c r="BB93" s="2" t="s">
        <v>132</v>
      </c>
      <c r="BC93" s="2" t="n">
        <v>4</v>
      </c>
      <c r="BD93" s="2" t="s">
        <v>133</v>
      </c>
      <c r="BE93" s="2" t="n">
        <v>3000</v>
      </c>
      <c r="BF93" s="2" t="s">
        <v>134</v>
      </c>
      <c r="BG93" s="2" t="n">
        <v>120</v>
      </c>
    </row>
    <row r="94" customFormat="false" ht="15" hidden="false" customHeight="false" outlineLevel="0" collapsed="false">
      <c r="A94" s="2" t="s">
        <v>226</v>
      </c>
      <c r="B94" s="2" t="s">
        <v>128</v>
      </c>
      <c r="C94" s="2" t="s">
        <v>129</v>
      </c>
      <c r="D94" s="2" t="s">
        <v>130</v>
      </c>
      <c r="E94" s="2" t="n">
        <v>1</v>
      </c>
      <c r="F94" s="2" t="n">
        <v>953.4980033383824</v>
      </c>
      <c r="G94" s="2" t="n">
        <v>294.0825931162371</v>
      </c>
      <c r="H94" s="2" t="n">
        <v>284.0843926688483</v>
      </c>
      <c r="I94" s="2" t="n">
        <v>4.454856961952879</v>
      </c>
      <c r="J94" s="2" t="n">
        <v>0.0021801860010933825</v>
      </c>
      <c r="K94" s="2" t="n">
        <v>0.00018168216675778189</v>
      </c>
      <c r="L94" s="2" t="n">
        <v>28.85439543518953</v>
      </c>
      <c r="M94" s="2" t="n">
        <v>0.9977812091820023</v>
      </c>
      <c r="N94" s="2" t="n">
        <v>1.5165241446490125</v>
      </c>
      <c r="O94" s="2" t="n">
        <v>5.198875</v>
      </c>
      <c r="P94" s="2" t="n">
        <v>5.187339783886083</v>
      </c>
      <c r="Q94" s="2" t="n">
        <v>28.056939</v>
      </c>
      <c r="R94" s="2" t="n">
        <v>27.93257216795935</v>
      </c>
      <c r="S94" s="2" t="n">
        <v>47.398667456425876</v>
      </c>
      <c r="T94" s="2" t="n">
        <v>47.50406904864854</v>
      </c>
      <c r="U94" s="2" t="n">
        <v>0.0007102565638809025</v>
      </c>
      <c r="V94" s="2" t="n">
        <v>6.391068917191368</v>
      </c>
      <c r="W94" s="2" t="n">
        <v>1.3975645923052821e-05</v>
      </c>
      <c r="X94" s="2" t="n">
        <v>618.7315288522997</v>
      </c>
      <c r="Y94" s="2" t="n">
        <v>264.30789730836125</v>
      </c>
      <c r="Z94" s="2" t="n">
        <v>22.628456455420938</v>
      </c>
      <c r="AA94" s="2" t="n">
        <v>323.3130807360299</v>
      </c>
      <c r="AB94" s="2" t="n">
        <v>29.230487619792825</v>
      </c>
      <c r="AC94" s="2" t="n">
        <v>266.38262163970796</v>
      </c>
      <c r="AD94" s="2" t="n">
        <v>0.5291175641877576</v>
      </c>
      <c r="AE94" s="2" t="n">
        <v>335.7233225926165</v>
      </c>
      <c r="AF94" s="2" t="n">
        <v>347.8882775606225</v>
      </c>
      <c r="AG94" s="2" t="n">
        <v>307.58162781178635</v>
      </c>
      <c r="AH94" s="2" t="n">
        <v>40.30664974883615</v>
      </c>
      <c r="AI94" s="2" t="n">
        <v>10.408310932616326</v>
      </c>
      <c r="AJ94" s="2" t="n">
        <v>347.0135262444449</v>
      </c>
      <c r="AK94" s="2" t="n">
        <v>347.37639701192086</v>
      </c>
      <c r="AL94" s="2" t="n">
        <v>347.73242224956357</v>
      </c>
      <c r="AM94" s="2" t="n">
        <v>12775626836.461056</v>
      </c>
      <c r="AN94" s="2" t="n">
        <v>12703577762.582865</v>
      </c>
      <c r="AO94" s="2" t="n">
        <v>336.1983320627928</v>
      </c>
      <c r="AP94" s="2" t="n">
        <v>326.69024723401424</v>
      </c>
      <c r="AQ94" s="2" t="n">
        <v>7.383743736145373</v>
      </c>
      <c r="AR94" s="2" t="n">
        <v>45.49490731232338</v>
      </c>
      <c r="AS94" s="2" t="n">
        <v>7.428770093996023</v>
      </c>
      <c r="AT94" s="2" t="n">
        <v>2.211877512501122</v>
      </c>
      <c r="AU94" s="2" t="n">
        <v>284.7697460192304</v>
      </c>
      <c r="AV94" s="2" t="n">
        <v>339.57022707668375</v>
      </c>
      <c r="AW94" s="2" t="n">
        <v>6.23413157916845e-05</v>
      </c>
      <c r="AX94" s="2" t="n">
        <v>757</v>
      </c>
      <c r="AY94" s="2" t="n">
        <v>9.993991056944651e-07</v>
      </c>
      <c r="AZ94" s="2" t="s">
        <v>131</v>
      </c>
      <c r="BA94" s="2" t="n">
        <v>4.48</v>
      </c>
      <c r="BB94" s="2" t="s">
        <v>132</v>
      </c>
      <c r="BC94" s="2" t="n">
        <v>4</v>
      </c>
      <c r="BD94" s="2" t="s">
        <v>133</v>
      </c>
      <c r="BE94" s="2" t="n">
        <v>3000</v>
      </c>
      <c r="BF94" s="2" t="s">
        <v>134</v>
      </c>
      <c r="BG94" s="2" t="n">
        <v>120</v>
      </c>
    </row>
    <row r="95" customFormat="false" ht="15" hidden="false" customHeight="false" outlineLevel="0" collapsed="false">
      <c r="A95" s="2" t="s">
        <v>227</v>
      </c>
      <c r="B95" s="2" t="s">
        <v>128</v>
      </c>
      <c r="C95" s="2" t="s">
        <v>129</v>
      </c>
      <c r="D95" s="2" t="s">
        <v>130</v>
      </c>
      <c r="E95" s="2" t="n">
        <v>1</v>
      </c>
      <c r="F95" s="2" t="n">
        <v>585.6455261877147</v>
      </c>
      <c r="G95" s="2" t="n">
        <v>298.9078502584365</v>
      </c>
      <c r="H95" s="2" t="n">
        <v>312.2178164209703</v>
      </c>
      <c r="I95" s="2" t="n">
        <v>3.205340735479715</v>
      </c>
      <c r="J95" s="2" t="n">
        <v>0.0016928207556923926</v>
      </c>
      <c r="K95" s="2" t="n">
        <v>0.00014106839630769938</v>
      </c>
      <c r="L95" s="2" t="n">
        <v>25.0414514878917</v>
      </c>
      <c r="M95" s="2" t="n">
        <v>0.464745532837856</v>
      </c>
      <c r="N95" s="2" t="n">
        <v>0.5026134079014769</v>
      </c>
      <c r="O95" s="2" t="n">
        <v>5.198875</v>
      </c>
      <c r="P95" s="2" t="n">
        <v>2.416153932032409</v>
      </c>
      <c r="Q95" s="2" t="n">
        <v>28.056939</v>
      </c>
      <c r="R95" s="2" t="n">
        <v>6.059973652290455</v>
      </c>
      <c r="S95" s="2" t="n">
        <v>38.57330580682301</v>
      </c>
      <c r="T95" s="2" t="n">
        <v>82.99876616625976</v>
      </c>
      <c r="U95" s="2" t="n">
        <v>0.0006776601638971856</v>
      </c>
      <c r="V95" s="2" t="n">
        <v>38.51266216139977</v>
      </c>
      <c r="W95" s="2" t="n">
        <v>6.53912074862453e-05</v>
      </c>
      <c r="X95" s="2" t="n">
        <v>380.02948146189135</v>
      </c>
      <c r="Y95" s="2" t="n">
        <v>304.5268574230393</v>
      </c>
      <c r="Z95" s="2" t="n">
        <v>17.880294794822916</v>
      </c>
      <c r="AA95" s="2" t="n">
        <v>323.2267198105213</v>
      </c>
      <c r="AB95" s="2" t="n">
        <v>24.318869552084777</v>
      </c>
      <c r="AC95" s="2" t="n">
        <v>172.08009621487358</v>
      </c>
      <c r="AD95" s="2" t="n">
        <v>0.5564957957687324</v>
      </c>
      <c r="AE95" s="2" t="n">
        <v>336.07910230790566</v>
      </c>
      <c r="AF95" s="2" t="n">
        <v>347.0608392028386</v>
      </c>
      <c r="AG95" s="2" t="n">
        <v>310.61790916285776</v>
      </c>
      <c r="AH95" s="2" t="n">
        <v>36.442930039980865</v>
      </c>
      <c r="AI95" s="2" t="n">
        <v>9.558489656759043</v>
      </c>
      <c r="AJ95" s="2" t="n">
        <v>346.45469596611355</v>
      </c>
      <c r="AK95" s="2" t="n">
        <v>346.71308653706535</v>
      </c>
      <c r="AL95" s="2" t="n">
        <v>346.95684826580174</v>
      </c>
      <c r="AM95" s="2" t="n">
        <v>12818411716.408829</v>
      </c>
      <c r="AN95" s="2" t="n">
        <v>12757513424.227571</v>
      </c>
      <c r="AO95" s="2" t="n">
        <v>336.4794567425841</v>
      </c>
      <c r="AP95" s="2" t="n">
        <v>200.65556621187864</v>
      </c>
      <c r="AQ95" s="2" t="n">
        <v>3.933713799638077</v>
      </c>
      <c r="AR95" s="2" t="n">
        <v>21.20887193015388</v>
      </c>
      <c r="AS95" s="2" t="n">
        <v>3.432681646634329</v>
      </c>
      <c r="AT95" s="2" t="n">
        <v>2.2681178451197046</v>
      </c>
      <c r="AU95" s="2" t="n">
        <v>312.32550121780065</v>
      </c>
      <c r="AV95" s="2" t="n">
        <v>246.46937731931789</v>
      </c>
      <c r="AW95" s="2" t="n">
        <v>0.00010075932984446969</v>
      </c>
      <c r="AX95" s="2" t="n">
        <v>966</v>
      </c>
      <c r="AY95" s="2" t="n">
        <v>9.92417426459724e-07</v>
      </c>
      <c r="AZ95" s="2" t="s">
        <v>131</v>
      </c>
      <c r="BA95" s="2" t="n">
        <v>4.48</v>
      </c>
      <c r="BB95" s="2" t="s">
        <v>132</v>
      </c>
      <c r="BC95" s="2" t="n">
        <v>4</v>
      </c>
      <c r="BD95" s="2" t="s">
        <v>133</v>
      </c>
      <c r="BE95" s="2" t="n">
        <v>3000</v>
      </c>
      <c r="BF95" s="2" t="s">
        <v>134</v>
      </c>
      <c r="BG95" s="2" t="n">
        <v>120</v>
      </c>
    </row>
    <row r="96" customFormat="false" ht="15" hidden="false" customHeight="false" outlineLevel="0" collapsed="false">
      <c r="A96" s="2" t="s">
        <v>228</v>
      </c>
      <c r="B96" s="2" t="s">
        <v>128</v>
      </c>
      <c r="C96" s="2" t="s">
        <v>129</v>
      </c>
      <c r="D96" s="2" t="s">
        <v>130</v>
      </c>
      <c r="E96" s="2" t="n">
        <v>1</v>
      </c>
      <c r="F96" s="2" t="n">
        <v>886.9076774957017</v>
      </c>
      <c r="G96" s="2" t="n">
        <v>294.5654070126553</v>
      </c>
      <c r="H96" s="2" t="n">
        <v>309.5619253747827</v>
      </c>
      <c r="I96" s="2" t="n">
        <v>2.356523012856888</v>
      </c>
      <c r="J96" s="2" t="n">
        <v>0.002453141236248825</v>
      </c>
      <c r="K96" s="2" t="n">
        <v>0.00020442843635406875</v>
      </c>
      <c r="L96" s="2" t="n">
        <v>35.513701705825454</v>
      </c>
      <c r="M96" s="2" t="n">
        <v>0.40201248658065675</v>
      </c>
      <c r="N96" s="2" t="n">
        <v>1.344482685142399</v>
      </c>
      <c r="O96" s="2" t="n">
        <v>5.198875</v>
      </c>
      <c r="P96" s="2" t="n">
        <v>2.0900126661720115</v>
      </c>
      <c r="Q96" s="2" t="n">
        <v>28.056939</v>
      </c>
      <c r="R96" s="2" t="n">
        <v>4.534395244056858</v>
      </c>
      <c r="S96" s="2" t="n">
        <v>52.66892235856484</v>
      </c>
      <c r="T96" s="2" t="n">
        <v>131.01315037884467</v>
      </c>
      <c r="U96" s="2" t="n">
        <v>0.0007192104051168946</v>
      </c>
      <c r="V96" s="2" t="n">
        <v>47.90223875075768</v>
      </c>
      <c r="W96" s="2" t="n">
        <v>0.000117864550840642</v>
      </c>
      <c r="X96" s="2" t="n">
        <v>575.5206002807032</v>
      </c>
      <c r="Y96" s="2" t="n">
        <v>300.64943115909546</v>
      </c>
      <c r="Z96" s="2" t="n">
        <v>14.654787448856176</v>
      </c>
      <c r="AA96" s="2" t="n">
        <v>321.60015761296495</v>
      </c>
      <c r="AB96" s="2" t="n">
        <v>27.03475060030962</v>
      </c>
      <c r="AC96" s="2" t="n">
        <v>277.2178571089669</v>
      </c>
      <c r="AD96" s="2" t="n">
        <v>0.5919824955903358</v>
      </c>
      <c r="AE96" s="2" t="n">
        <v>331.58267092635765</v>
      </c>
      <c r="AF96" s="2" t="n">
        <v>342.06359815676234</v>
      </c>
      <c r="AG96" s="2" t="n">
        <v>307.26614525078105</v>
      </c>
      <c r="AH96" s="2" t="n">
        <v>34.79745290598129</v>
      </c>
      <c r="AI96" s="2" t="n">
        <v>8.967432720405068</v>
      </c>
      <c r="AJ96" s="2" t="n">
        <v>341.3424364922184</v>
      </c>
      <c r="AK96" s="2" t="n">
        <v>341.64286474004365</v>
      </c>
      <c r="AL96" s="2" t="n">
        <v>341.9356185654819</v>
      </c>
      <c r="AM96" s="2" t="n">
        <v>12140640500.111193</v>
      </c>
      <c r="AN96" s="2" t="n">
        <v>12088357686.73734</v>
      </c>
      <c r="AO96" s="2" t="n">
        <v>331.9406192261596</v>
      </c>
      <c r="AP96" s="2" t="n">
        <v>303.8748769482113</v>
      </c>
      <c r="AQ96" s="2" t="n">
        <v>3.5638605856992815</v>
      </c>
      <c r="AR96" s="2" t="n">
        <v>19.925052198039943</v>
      </c>
      <c r="AS96" s="2" t="n">
        <v>3.1679017408480528</v>
      </c>
      <c r="AT96" s="2" t="n">
        <v>2.292691674781103</v>
      </c>
      <c r="AU96" s="2" t="n">
        <v>309.2669276293812</v>
      </c>
      <c r="AV96" s="2" t="n">
        <v>328.1842009048998</v>
      </c>
      <c r="AW96" s="2" t="n">
        <v>6.712497619722111e-05</v>
      </c>
      <c r="AX96" s="2" t="n">
        <v>654</v>
      </c>
      <c r="AY96" s="2" t="n">
        <v>9.971363965632918e-07</v>
      </c>
      <c r="AZ96" s="2" t="s">
        <v>131</v>
      </c>
      <c r="BA96" s="2" t="n">
        <v>4.48</v>
      </c>
      <c r="BB96" s="2" t="s">
        <v>132</v>
      </c>
      <c r="BC96" s="2" t="n">
        <v>4</v>
      </c>
      <c r="BD96" s="2" t="s">
        <v>133</v>
      </c>
      <c r="BE96" s="2" t="n">
        <v>3000</v>
      </c>
      <c r="BF96" s="2" t="s">
        <v>134</v>
      </c>
      <c r="BG96" s="2" t="n">
        <v>120</v>
      </c>
    </row>
    <row r="97" customFormat="false" ht="15" hidden="false" customHeight="false" outlineLevel="0" collapsed="false">
      <c r="A97" s="2" t="s">
        <v>229</v>
      </c>
      <c r="B97" s="2" t="s">
        <v>128</v>
      </c>
      <c r="C97" s="2" t="s">
        <v>129</v>
      </c>
      <c r="D97" s="2" t="s">
        <v>130</v>
      </c>
      <c r="E97" s="2" t="n">
        <v>1</v>
      </c>
      <c r="F97" s="2" t="n">
        <v>567.387269522867</v>
      </c>
      <c r="G97" s="2" t="n">
        <v>306.76362210339795</v>
      </c>
      <c r="H97" s="2" t="n">
        <v>283.33071271090296</v>
      </c>
      <c r="I97" s="2" t="n">
        <v>3.4279689563034936</v>
      </c>
      <c r="J97" s="2" t="n">
        <v>0.00308800234880566</v>
      </c>
      <c r="K97" s="2" t="n">
        <v>0.00025733352906713835</v>
      </c>
      <c r="L97" s="2" t="n">
        <v>36.14293580270677</v>
      </c>
      <c r="M97" s="2" t="n">
        <v>0.6402701473724689</v>
      </c>
      <c r="N97" s="2" t="n">
        <v>1.7947981313266388</v>
      </c>
      <c r="O97" s="2" t="n">
        <v>5.198875</v>
      </c>
      <c r="P97" s="2" t="n">
        <v>3.3286844624210445</v>
      </c>
      <c r="Q97" s="2" t="n">
        <v>28.056939</v>
      </c>
      <c r="R97" s="2" t="n">
        <v>11.501826032672739</v>
      </c>
      <c r="S97" s="2" t="n">
        <v>72.37887373503195</v>
      </c>
      <c r="T97" s="2" t="n">
        <v>113.04427362740441</v>
      </c>
      <c r="U97" s="2" t="n">
        <v>0.0006588000790963964</v>
      </c>
      <c r="V97" s="2" t="n">
        <v>17.372069784707</v>
      </c>
      <c r="W97" s="2" t="n">
        <v>5.380641153339123e-05</v>
      </c>
      <c r="X97" s="2" t="n">
        <v>368.18157090427496</v>
      </c>
      <c r="Y97" s="2" t="n">
        <v>263.2567762905773</v>
      </c>
      <c r="Z97" s="2" t="n">
        <v>18.726282033953275</v>
      </c>
      <c r="AA97" s="2" t="n">
        <v>318.3492784316485</v>
      </c>
      <c r="AB97" s="2" t="n">
        <v>11.585656328250536</v>
      </c>
      <c r="AC97" s="2" t="n">
        <v>149.54591192810796</v>
      </c>
      <c r="AD97" s="2" t="n">
        <v>0.4991844354234668</v>
      </c>
      <c r="AE97" s="2" t="n">
        <v>321.42430560141963</v>
      </c>
      <c r="AF97" s="2" t="n">
        <v>325.3390831131984</v>
      </c>
      <c r="AG97" s="2" t="n">
        <v>312.07444973960577</v>
      </c>
      <c r="AH97" s="2" t="n">
        <v>13.26463337359263</v>
      </c>
      <c r="AI97" s="2" t="n">
        <v>3.3274103199034184</v>
      </c>
      <c r="AJ97" s="2" t="n">
        <v>325.0184685783833</v>
      </c>
      <c r="AK97" s="2" t="n">
        <v>325.1489972024123</v>
      </c>
      <c r="AL97" s="2" t="n">
        <v>325.27849957084476</v>
      </c>
      <c r="AM97" s="2" t="n">
        <v>10680513216.18184</v>
      </c>
      <c r="AN97" s="2" t="n">
        <v>10673696686.729242</v>
      </c>
      <c r="AO97" s="2" t="n">
        <v>321.4756110158574</v>
      </c>
      <c r="AP97" s="2" t="n">
        <v>194.3998694374572</v>
      </c>
      <c r="AQ97" s="2" t="n">
        <v>5.07975234140869</v>
      </c>
      <c r="AR97" s="2" t="n">
        <v>34.29386105213459</v>
      </c>
      <c r="AS97" s="2" t="n">
        <v>5.480139577944188</v>
      </c>
      <c r="AT97" s="2" t="n">
        <v>2.2300515823013516</v>
      </c>
      <c r="AU97" s="2" t="n">
        <v>283.0157236667185</v>
      </c>
      <c r="AV97" s="2" t="n">
        <v>150.62118011208398</v>
      </c>
      <c r="AW97" s="2" t="n">
        <v>0.00010413736456484444</v>
      </c>
      <c r="AX97" s="2" t="n">
        <v>418</v>
      </c>
      <c r="AY97" s="2" t="n">
        <v>9.869460200206959e-07</v>
      </c>
      <c r="AZ97" s="2" t="s">
        <v>131</v>
      </c>
      <c r="BA97" s="2" t="n">
        <v>4.48</v>
      </c>
      <c r="BB97" s="2" t="s">
        <v>132</v>
      </c>
      <c r="BC97" s="2" t="n">
        <v>4</v>
      </c>
      <c r="BD97" s="2" t="s">
        <v>133</v>
      </c>
      <c r="BE97" s="2" t="n">
        <v>3000</v>
      </c>
      <c r="BF97" s="2" t="s">
        <v>134</v>
      </c>
      <c r="BG97" s="2" t="n">
        <v>120</v>
      </c>
    </row>
    <row r="98" customFormat="false" ht="15" hidden="false" customHeight="false" outlineLevel="0" collapsed="false">
      <c r="A98" s="2" t="s">
        <v>230</v>
      </c>
      <c r="B98" s="2" t="s">
        <v>128</v>
      </c>
      <c r="C98" s="2" t="s">
        <v>129</v>
      </c>
      <c r="D98" s="2" t="s">
        <v>130</v>
      </c>
      <c r="E98" s="2" t="n">
        <v>1</v>
      </c>
      <c r="F98" s="2" t="n">
        <v>752.1003822141879</v>
      </c>
      <c r="G98" s="2" t="n">
        <v>302.26544068469707</v>
      </c>
      <c r="H98" s="2" t="n">
        <v>298.1784587921558</v>
      </c>
      <c r="I98" s="2" t="n">
        <v>3.3565903296601918</v>
      </c>
      <c r="J98" s="2" t="n">
        <v>0.00396559586286261</v>
      </c>
      <c r="K98" s="2" t="n">
        <v>0.0003304663219052175</v>
      </c>
      <c r="L98" s="2" t="n">
        <v>28.27305500541182</v>
      </c>
      <c r="M98" s="2" t="n">
        <v>0.901565209410934</v>
      </c>
      <c r="N98" s="2" t="n">
        <v>1.5639657442193626</v>
      </c>
      <c r="O98" s="2" t="n">
        <v>5.198875</v>
      </c>
      <c r="P98" s="2" t="n">
        <v>4.68712482807627</v>
      </c>
      <c r="Q98" s="2" t="n">
        <v>28.056939</v>
      </c>
      <c r="R98" s="2" t="n">
        <v>22.805236299084388</v>
      </c>
      <c r="S98" s="2" t="n">
        <v>87.18030212758852</v>
      </c>
      <c r="T98" s="2" t="n">
        <v>96.69883134083061</v>
      </c>
      <c r="U98" s="2" t="n">
        <v>0.0007023893607789523</v>
      </c>
      <c r="V98" s="2" t="n">
        <v>13.528283394936453</v>
      </c>
      <c r="W98" s="2" t="n">
        <v>5.3809132058769254e-05</v>
      </c>
      <c r="X98" s="2" t="n">
        <v>488.0432027214619</v>
      </c>
      <c r="Y98" s="2" t="n">
        <v>284.2192415721634</v>
      </c>
      <c r="Z98" s="2" t="n">
        <v>18.455043252708727</v>
      </c>
      <c r="AA98" s="2" t="n">
        <v>316.29103747863456</v>
      </c>
      <c r="AB98" s="2" t="n">
        <v>14.025596793937495</v>
      </c>
      <c r="AC98" s="2" t="n">
        <v>232.49096723250966</v>
      </c>
      <c r="AD98" s="2" t="n">
        <v>0.5854588190480731</v>
      </c>
      <c r="AE98" s="2" t="n">
        <v>318.6109727005109</v>
      </c>
      <c r="AF98" s="2" t="n">
        <v>322.6454896662725</v>
      </c>
      <c r="AG98" s="2" t="n">
        <v>308.5685707742049</v>
      </c>
      <c r="AH98" s="2" t="n">
        <v>14.076918892067624</v>
      </c>
      <c r="AI98" s="2" t="n">
        <v>3.373453845869603</v>
      </c>
      <c r="AJ98" s="2" t="n">
        <v>322.24111678458985</v>
      </c>
      <c r="AK98" s="2" t="n">
        <v>322.40543234743444</v>
      </c>
      <c r="AL98" s="2" t="n">
        <v>322.5666064329463</v>
      </c>
      <c r="AM98" s="2" t="n">
        <v>10311768234.726074</v>
      </c>
      <c r="AN98" s="2" t="n">
        <v>10304879408.561003</v>
      </c>
      <c r="AO98" s="2" t="n">
        <v>318.6642073262809</v>
      </c>
      <c r="AP98" s="2" t="n">
        <v>257.6868110369319</v>
      </c>
      <c r="AQ98" s="2" t="n">
        <v>3.0078904907142516</v>
      </c>
      <c r="AR98" s="2" t="n">
        <v>19.24833221347184</v>
      </c>
      <c r="AS98" s="2" t="n">
        <v>2.939418932414402</v>
      </c>
      <c r="AT98" s="2" t="n">
        <v>2.3354640236033815</v>
      </c>
      <c r="AU98" s="2" t="n">
        <v>297.0531450822216</v>
      </c>
      <c r="AV98" s="2" t="n">
        <v>192.03050639001572</v>
      </c>
      <c r="AW98" s="2" t="n">
        <v>7.810991108947302e-05</v>
      </c>
      <c r="AX98" s="2" t="n">
        <v>319</v>
      </c>
      <c r="AY98" s="2" t="n">
        <v>9.692694789009693e-07</v>
      </c>
      <c r="AZ98" s="2" t="s">
        <v>131</v>
      </c>
      <c r="BA98" s="2" t="n">
        <v>4.48</v>
      </c>
      <c r="BB98" s="2" t="s">
        <v>132</v>
      </c>
      <c r="BC98" s="2" t="n">
        <v>4</v>
      </c>
      <c r="BD98" s="2" t="s">
        <v>133</v>
      </c>
      <c r="BE98" s="2" t="n">
        <v>3000</v>
      </c>
      <c r="BF98" s="2" t="s">
        <v>134</v>
      </c>
      <c r="BG98" s="2" t="n">
        <v>120</v>
      </c>
    </row>
    <row r="99" customFormat="false" ht="15" hidden="false" customHeight="false" outlineLevel="0" collapsed="false">
      <c r="A99" s="2" t="s">
        <v>231</v>
      </c>
      <c r="B99" s="2" t="s">
        <v>128</v>
      </c>
      <c r="C99" s="2" t="s">
        <v>129</v>
      </c>
      <c r="D99" s="2" t="s">
        <v>130</v>
      </c>
      <c r="E99" s="2" t="n">
        <v>1</v>
      </c>
      <c r="F99" s="2" t="n">
        <v>744.2641944266941</v>
      </c>
      <c r="G99" s="2" t="n">
        <v>293.33694594149074</v>
      </c>
      <c r="H99" s="2" t="n">
        <v>309.0569154525399</v>
      </c>
      <c r="I99" s="2" t="n">
        <v>0.3978800420406315</v>
      </c>
      <c r="J99" s="2" t="n">
        <v>0.001506301923060609</v>
      </c>
      <c r="K99" s="2" t="n">
        <v>0.00012552516025505077</v>
      </c>
      <c r="L99" s="2" t="n">
        <v>36.51318576131675</v>
      </c>
      <c r="M99" s="2" t="n">
        <v>0.7425947356606241</v>
      </c>
      <c r="N99" s="2" t="n">
        <v>0.6093248493943755</v>
      </c>
      <c r="O99" s="2" t="n">
        <v>5.198875</v>
      </c>
      <c r="P99" s="2" t="n">
        <v>3.860657206357627</v>
      </c>
      <c r="Q99" s="2" t="n">
        <v>28.056939</v>
      </c>
      <c r="R99" s="2" t="n">
        <v>15.471913197462552</v>
      </c>
      <c r="S99" s="2" t="n">
        <v>33.712130336683366</v>
      </c>
      <c r="T99" s="2" t="n">
        <v>45.39775023679977</v>
      </c>
      <c r="U99" s="2" t="n">
        <v>0.0006899437339855857</v>
      </c>
      <c r="V99" s="2" t="n">
        <v>9.090944370565968</v>
      </c>
      <c r="W99" s="2" t="n">
        <v>1.3734911722989503e-05</v>
      </c>
      <c r="X99" s="2" t="n">
        <v>482.9582456128427</v>
      </c>
      <c r="Y99" s="2" t="n">
        <v>299.91402576780075</v>
      </c>
      <c r="Z99" s="2" t="n">
        <v>7.2119441597544</v>
      </c>
      <c r="AA99" s="2" t="n">
        <v>326.9226734669503</v>
      </c>
      <c r="AB99" s="2" t="n">
        <v>33.58572752545956</v>
      </c>
      <c r="AC99" s="2" t="n">
        <v>211.46722810857557</v>
      </c>
      <c r="AD99" s="2" t="n">
        <v>0.5381235814393954</v>
      </c>
      <c r="AE99" s="2" t="n">
        <v>346.40638636024795</v>
      </c>
      <c r="AF99" s="2" t="n">
        <v>361.9301533103385</v>
      </c>
      <c r="AG99" s="2" t="n">
        <v>310.66770286548194</v>
      </c>
      <c r="AH99" s="2" t="n">
        <v>51.26245044485654</v>
      </c>
      <c r="AI99" s="2" t="n">
        <v>13.63819150857581</v>
      </c>
      <c r="AJ99" s="2" t="n">
        <v>361.24211253659274</v>
      </c>
      <c r="AK99" s="2" t="n">
        <v>361.5538601912084</v>
      </c>
      <c r="AL99" s="2" t="n">
        <v>361.8166020580044</v>
      </c>
      <c r="AM99" s="2" t="n">
        <v>14530450170.030483</v>
      </c>
      <c r="AN99" s="2" t="n">
        <v>14399372289.520472</v>
      </c>
      <c r="AO99" s="2" t="n">
        <v>347.1920461741456</v>
      </c>
      <c r="AP99" s="2" t="n">
        <v>255.00195368358095</v>
      </c>
      <c r="AQ99" s="2" t="n">
        <v>6.215424906759263</v>
      </c>
      <c r="AR99" s="2" t="n">
        <v>31.946003826476307</v>
      </c>
      <c r="AS99" s="2" t="n">
        <v>5.373090281215278</v>
      </c>
      <c r="AT99" s="2" t="n">
        <v>2.2075850009920015</v>
      </c>
      <c r="AU99" s="2" t="n">
        <v>310.6273673810154</v>
      </c>
      <c r="AV99" s="2" t="n">
        <v>318.12875786360246</v>
      </c>
      <c r="AW99" s="2" t="n">
        <v>8.091930486225331e-05</v>
      </c>
      <c r="AX99" s="2" t="n">
        <v>1141</v>
      </c>
      <c r="AY99" s="2" t="n">
        <v>9.996574021897686e-07</v>
      </c>
      <c r="AZ99" s="2" t="s">
        <v>131</v>
      </c>
      <c r="BA99" s="2" t="n">
        <v>4.48</v>
      </c>
      <c r="BB99" s="2" t="s">
        <v>132</v>
      </c>
      <c r="BC99" s="2" t="n">
        <v>4</v>
      </c>
      <c r="BD99" s="2" t="s">
        <v>133</v>
      </c>
      <c r="BE99" s="2" t="n">
        <v>3000</v>
      </c>
      <c r="BF99" s="2" t="s">
        <v>134</v>
      </c>
      <c r="BG99" s="2" t="n">
        <v>120</v>
      </c>
    </row>
    <row r="100" customFormat="false" ht="15" hidden="false" customHeight="false" outlineLevel="0" collapsed="false">
      <c r="A100" s="2" t="s">
        <v>232</v>
      </c>
      <c r="B100" s="2" t="s">
        <v>128</v>
      </c>
      <c r="C100" s="2" t="s">
        <v>129</v>
      </c>
      <c r="D100" s="2" t="s">
        <v>130</v>
      </c>
      <c r="E100" s="2" t="n">
        <v>1</v>
      </c>
      <c r="F100" s="2" t="n">
        <v>932.2672438749544</v>
      </c>
      <c r="G100" s="2" t="n">
        <v>309.3275172585491</v>
      </c>
      <c r="H100" s="2" t="n">
        <v>287.4491626962222</v>
      </c>
      <c r="I100" s="2" t="n">
        <v>2.307020924983441</v>
      </c>
      <c r="J100" s="2" t="n">
        <v>0.002092715120179394</v>
      </c>
      <c r="K100" s="2" t="n">
        <v>0.00017439292668161617</v>
      </c>
      <c r="L100" s="2" t="n">
        <v>36.371078721665135</v>
      </c>
      <c r="M100" s="2" t="n">
        <v>0.7339319175051557</v>
      </c>
      <c r="N100" s="2" t="n">
        <v>0.8604514965177116</v>
      </c>
      <c r="O100" s="2" t="n">
        <v>5.198875</v>
      </c>
      <c r="P100" s="2" t="n">
        <v>3.815620297619617</v>
      </c>
      <c r="Q100" s="2" t="n">
        <v>28.056939</v>
      </c>
      <c r="R100" s="2" t="n">
        <v>15.11304020429199</v>
      </c>
      <c r="S100" s="2" t="n">
        <v>59.68300159354656</v>
      </c>
      <c r="T100" s="2" t="n">
        <v>81.31953410123671</v>
      </c>
      <c r="U100" s="2" t="n">
        <v>0.0005414362100320437</v>
      </c>
      <c r="V100" s="2" t="n">
        <v>9.311891207806012</v>
      </c>
      <c r="W100" s="2" t="n">
        <v>1.9545772846580942e-05</v>
      </c>
      <c r="X100" s="2" t="n">
        <v>604.954740421165</v>
      </c>
      <c r="Y100" s="2" t="n">
        <v>269.0175725941896</v>
      </c>
      <c r="Z100" s="2" t="n">
        <v>14.466679514937077</v>
      </c>
      <c r="AA100" s="2" t="n">
        <v>337.50916018593244</v>
      </c>
      <c r="AB100" s="2" t="n">
        <v>28.181642927383336</v>
      </c>
      <c r="AC100" s="2" t="n">
        <v>246.52030811034086</v>
      </c>
      <c r="AD100" s="2" t="n">
        <v>0.5008161833463245</v>
      </c>
      <c r="AE100" s="2" t="n">
        <v>350.31288002544346</v>
      </c>
      <c r="AF100" s="2" t="n">
        <v>362.25993769144895</v>
      </c>
      <c r="AG100" s="2" t="n">
        <v>322.70696381177754</v>
      </c>
      <c r="AH100" s="2" t="n">
        <v>39.55297387967141</v>
      </c>
      <c r="AI100" s="2" t="n">
        <v>10.332567135174518</v>
      </c>
      <c r="AJ100" s="2" t="n">
        <v>361.5670261668284</v>
      </c>
      <c r="AK100" s="2" t="n">
        <v>361.8511417328671</v>
      </c>
      <c r="AL100" s="2" t="n">
        <v>362.13216223293915</v>
      </c>
      <c r="AM100" s="2" t="n">
        <v>15137316027.081396</v>
      </c>
      <c r="AN100" s="2" t="n">
        <v>15059980919.277891</v>
      </c>
      <c r="AO100" s="2" t="n">
        <v>350.7617429879949</v>
      </c>
      <c r="AP100" s="2" t="n">
        <v>319.4161029423751</v>
      </c>
      <c r="AQ100" s="2" t="n">
        <v>9.650385071530023</v>
      </c>
      <c r="AR100" s="2" t="n">
        <v>54.20163779706182</v>
      </c>
      <c r="AS100" s="2" t="n">
        <v>9.04356662661571</v>
      </c>
      <c r="AT100" s="2" t="n">
        <v>2.1961828436247757</v>
      </c>
      <c r="AU100" s="2" t="n">
        <v>289.6079030279974</v>
      </c>
      <c r="AV100" s="2" t="n">
        <v>325.15661889380357</v>
      </c>
      <c r="AW100" s="2" t="n">
        <v>6.429947298983036e-05</v>
      </c>
      <c r="AX100" s="2" t="n">
        <v>806</v>
      </c>
      <c r="AY100" s="2" t="n">
        <v>9.872844657365931e-07</v>
      </c>
      <c r="AZ100" s="2" t="s">
        <v>131</v>
      </c>
      <c r="BA100" s="2" t="n">
        <v>4.48</v>
      </c>
      <c r="BB100" s="2" t="s">
        <v>132</v>
      </c>
      <c r="BC100" s="2" t="n">
        <v>4</v>
      </c>
      <c r="BD100" s="2" t="s">
        <v>133</v>
      </c>
      <c r="BE100" s="2" t="n">
        <v>3000</v>
      </c>
      <c r="BF100" s="2" t="s">
        <v>134</v>
      </c>
      <c r="BG100" s="2" t="n">
        <v>120</v>
      </c>
    </row>
    <row r="101" customFormat="false" ht="15" hidden="false" customHeight="false" outlineLevel="0" collapsed="false">
      <c r="A101" s="2" t="s">
        <v>233</v>
      </c>
      <c r="B101" s="2" t="s">
        <v>128</v>
      </c>
      <c r="C101" s="2" t="s">
        <v>129</v>
      </c>
      <c r="D101" s="2" t="s">
        <v>130</v>
      </c>
      <c r="E101" s="2" t="n">
        <v>1</v>
      </c>
      <c r="F101" s="2" t="n">
        <v>595.7384664876089</v>
      </c>
      <c r="G101" s="2" t="n">
        <v>303.86870153059033</v>
      </c>
      <c r="H101" s="2" t="n">
        <v>292.1341328818157</v>
      </c>
      <c r="I101" s="2" t="n">
        <v>2.0942155651791197</v>
      </c>
      <c r="J101" s="2" t="n">
        <v>0.0010992869629498545</v>
      </c>
      <c r="K101" s="2" t="n">
        <v>9.160724691248787e-05</v>
      </c>
      <c r="L101" s="2" t="n">
        <v>23.111367414994145</v>
      </c>
      <c r="M101" s="2" t="n">
        <v>0.5910582754218352</v>
      </c>
      <c r="N101" s="2" t="n">
        <v>0.952398619219654</v>
      </c>
      <c r="O101" s="2" t="n">
        <v>5.198875</v>
      </c>
      <c r="P101" s="2" t="n">
        <v>3.072838091633694</v>
      </c>
      <c r="Q101" s="2" t="n">
        <v>28.056939</v>
      </c>
      <c r="R101" s="2" t="n">
        <v>9.801688411548612</v>
      </c>
      <c r="S101" s="2" t="n">
        <v>28.793240131817026</v>
      </c>
      <c r="T101" s="2" t="n">
        <v>48.71472294549542</v>
      </c>
      <c r="U101" s="2" t="n">
        <v>0.0005895333521106521</v>
      </c>
      <c r="V101" s="2" t="n">
        <v>8.531158652576341</v>
      </c>
      <c r="W101" s="2" t="n">
        <v>9.40641071778738e-06</v>
      </c>
      <c r="X101" s="2" t="n">
        <v>386.5788610730748</v>
      </c>
      <c r="Y101" s="2" t="n">
        <v>275.6211446034767</v>
      </c>
      <c r="Z101" s="2" t="n">
        <v>13.658019147680655</v>
      </c>
      <c r="AA101" s="2" t="n">
        <v>333.1155057327727</v>
      </c>
      <c r="AB101" s="2" t="n">
        <v>29.246804202182375</v>
      </c>
      <c r="AC101" s="2" t="n">
        <v>134.3896357717575</v>
      </c>
      <c r="AD101" s="2" t="n">
        <v>0.4272442349172903</v>
      </c>
      <c r="AE101" s="2" t="n">
        <v>352.08217397740407</v>
      </c>
      <c r="AF101" s="2" t="n">
        <v>365.6208281204395</v>
      </c>
      <c r="AG101" s="2" t="n">
        <v>319.71002754025886</v>
      </c>
      <c r="AH101" s="2" t="n">
        <v>45.91080058018065</v>
      </c>
      <c r="AI101" s="2" t="n">
        <v>12.081057960956226</v>
      </c>
      <c r="AJ101" s="2" t="n">
        <v>365.06754833647074</v>
      </c>
      <c r="AK101" s="2" t="n">
        <v>365.34697255055147</v>
      </c>
      <c r="AL101" s="2" t="n">
        <v>365.5435556223506</v>
      </c>
      <c r="AM101" s="2" t="n">
        <v>15472940964.836521</v>
      </c>
      <c r="AN101" s="2" t="n">
        <v>15366542048.569147</v>
      </c>
      <c r="AO101" s="2" t="n">
        <v>352.6900577133863</v>
      </c>
      <c r="AP101" s="2" t="n">
        <v>204.1136386465835</v>
      </c>
      <c r="AQ101" s="2" t="n">
        <v>9.495205645715922</v>
      </c>
      <c r="AR101" s="2" t="n">
        <v>51.604470570068294</v>
      </c>
      <c r="AS101" s="2" t="n">
        <v>8.624117803021514</v>
      </c>
      <c r="AT101" s="2" t="n">
        <v>2.202791506351562</v>
      </c>
      <c r="AU101" s="2" t="n">
        <v>294.2859831934569</v>
      </c>
      <c r="AV101" s="2" t="n">
        <v>213.0374924987618</v>
      </c>
      <c r="AW101" s="2" t="n">
        <v>0.0001021951651347171</v>
      </c>
      <c r="AX101" s="2" t="n">
        <v>1437</v>
      </c>
      <c r="AY101" s="2" t="n">
        <v>9.964491027858458e-07</v>
      </c>
      <c r="AZ101" s="2" t="s">
        <v>131</v>
      </c>
      <c r="BA101" s="2" t="n">
        <v>4.48</v>
      </c>
      <c r="BB101" s="2" t="s">
        <v>132</v>
      </c>
      <c r="BC101" s="2" t="n">
        <v>4</v>
      </c>
      <c r="BD101" s="2" t="s">
        <v>133</v>
      </c>
      <c r="BE101" s="2" t="n">
        <v>3000</v>
      </c>
      <c r="BF101" s="2" t="s">
        <v>134</v>
      </c>
      <c r="BG101" s="2" t="n">
        <v>120</v>
      </c>
    </row>
    <row r="102" customFormat="false" ht="15" hidden="false" customHeight="false" outlineLevel="0" collapsed="false">
      <c r="A102" s="2" t="s">
        <v>234</v>
      </c>
      <c r="B102" s="2" t="s">
        <v>128</v>
      </c>
      <c r="C102" s="2" t="s">
        <v>129</v>
      </c>
      <c r="D102" s="2" t="s">
        <v>130</v>
      </c>
      <c r="E102" s="2" t="n">
        <v>1</v>
      </c>
      <c r="F102" s="2" t="n">
        <v>690.3159902301778</v>
      </c>
      <c r="G102" s="2" t="n">
        <v>331.6022235322919</v>
      </c>
      <c r="H102" s="2" t="n">
        <v>295.8993037493724</v>
      </c>
      <c r="I102" s="2" t="n">
        <v>0.6908206850886045</v>
      </c>
      <c r="J102" s="2" t="n">
        <v>0.003652051875380365</v>
      </c>
      <c r="K102" s="2" t="n">
        <v>0.0003043376562816971</v>
      </c>
      <c r="L102" s="2" t="n">
        <v>35.27163002446471</v>
      </c>
      <c r="M102" s="2" t="n">
        <v>0.45907943001485263</v>
      </c>
      <c r="N102" s="2" t="n">
        <v>0.6522465490080417</v>
      </c>
      <c r="O102" s="2" t="n">
        <v>5.198875</v>
      </c>
      <c r="P102" s="2" t="n">
        <v>2.386696571718467</v>
      </c>
      <c r="Q102" s="2" t="n">
        <v>28.056939</v>
      </c>
      <c r="R102" s="2" t="n">
        <v>5.913109963382606</v>
      </c>
      <c r="S102" s="2" t="n">
        <v>129.88065774073752</v>
      </c>
      <c r="T102" s="2" t="n">
        <v>282.9154373929049</v>
      </c>
      <c r="U102" s="2" t="n">
        <v>0.00043419048311138986</v>
      </c>
      <c r="V102" s="2" t="n">
        <v>47.922910121573835</v>
      </c>
      <c r="W102" s="2" t="n">
        <v>0.00017554358453678875</v>
      </c>
      <c r="X102" s="2" t="n">
        <v>447.95087827229395</v>
      </c>
      <c r="Y102" s="2" t="n">
        <v>280.9667918601548</v>
      </c>
      <c r="Z102" s="2" t="n">
        <v>8.325118603336698</v>
      </c>
      <c r="AA102" s="2" t="n">
        <v>343.31042886911933</v>
      </c>
      <c r="AB102" s="2" t="n">
        <v>11.708205336827461</v>
      </c>
      <c r="AC102" s="2" t="n">
        <v>178.73250821718236</v>
      </c>
      <c r="AD102" s="2" t="n">
        <v>0.4903675173122476</v>
      </c>
      <c r="AE102" s="2" t="n">
        <v>345.7739574574452</v>
      </c>
      <c r="AF102" s="2" t="n">
        <v>349.41288807419255</v>
      </c>
      <c r="AG102" s="2" t="n">
        <v>336.8553522961719</v>
      </c>
      <c r="AH102" s="2" t="n">
        <v>12.557535778020679</v>
      </c>
      <c r="AI102" s="2" t="n">
        <v>3.0787668560616988</v>
      </c>
      <c r="AJ102" s="2" t="n">
        <v>349.09046111982593</v>
      </c>
      <c r="AK102" s="2" t="n">
        <v>349.2204759189776</v>
      </c>
      <c r="AL102" s="2" t="n">
        <v>349.34990457513993</v>
      </c>
      <c r="AM102" s="2" t="n">
        <v>14301265692.06397</v>
      </c>
      <c r="AN102" s="2" t="n">
        <v>14294505043.428013</v>
      </c>
      <c r="AO102" s="2" t="n">
        <v>345.81483403448135</v>
      </c>
      <c r="AP102" s="2" t="n">
        <v>236.51806372777122</v>
      </c>
      <c r="AQ102" s="2" t="n">
        <v>7.679602311137983</v>
      </c>
      <c r="AR102" s="2" t="n">
        <v>42.93077952208671</v>
      </c>
      <c r="AS102" s="2" t="n">
        <v>7.174961535064702</v>
      </c>
      <c r="AT102" s="2" t="n">
        <v>2.194347867010078</v>
      </c>
      <c r="AU102" s="2" t="n">
        <v>297.6921634509922</v>
      </c>
      <c r="AV102" s="2" t="n">
        <v>162.52803789267548</v>
      </c>
      <c r="AW102" s="2" t="n">
        <v>8.920738825295857e-05</v>
      </c>
      <c r="AX102" s="2" t="n">
        <v>352</v>
      </c>
      <c r="AY102" s="2" t="n">
        <v>9.808550203160848e-07</v>
      </c>
      <c r="AZ102" s="2" t="s">
        <v>131</v>
      </c>
      <c r="BA102" s="2" t="n">
        <v>4.48</v>
      </c>
      <c r="BB102" s="2" t="s">
        <v>132</v>
      </c>
      <c r="BC102" s="2" t="n">
        <v>4</v>
      </c>
      <c r="BD102" s="2" t="s">
        <v>133</v>
      </c>
      <c r="BE102" s="2" t="n">
        <v>3000</v>
      </c>
      <c r="BF102" s="2" t="s">
        <v>134</v>
      </c>
      <c r="BG102" s="2" t="n">
        <v>120</v>
      </c>
    </row>
    <row r="103" customFormat="false" ht="15" hidden="false" customHeight="false" outlineLevel="0" collapsed="false">
      <c r="A103" s="2" t="s">
        <v>235</v>
      </c>
      <c r="B103" s="2" t="s">
        <v>128</v>
      </c>
      <c r="C103" s="2" t="s">
        <v>129</v>
      </c>
      <c r="D103" s="2" t="s">
        <v>130</v>
      </c>
      <c r="E103" s="2" t="n">
        <v>1</v>
      </c>
      <c r="F103" s="2" t="n">
        <v>824.1105658094325</v>
      </c>
      <c r="G103" s="2" t="n">
        <v>325.1719441653927</v>
      </c>
      <c r="H103" s="2" t="n">
        <v>295.77900429741374</v>
      </c>
      <c r="I103" s="2" t="n">
        <v>4.596162574095141</v>
      </c>
      <c r="J103" s="2" t="n">
        <v>0.004439273543789526</v>
      </c>
      <c r="K103" s="2" t="n">
        <v>0.0003699394619824605</v>
      </c>
      <c r="L103" s="2" t="n">
        <v>34.36942190537758</v>
      </c>
      <c r="M103" s="2" t="n">
        <v>0.3525120292009156</v>
      </c>
      <c r="N103" s="2" t="n">
        <v>1.3030624487371603</v>
      </c>
      <c r="O103" s="2" t="n">
        <v>5.198875</v>
      </c>
      <c r="P103" s="2" t="n">
        <v>1.8326659758119102</v>
      </c>
      <c r="Q103" s="2" t="n">
        <v>28.056939</v>
      </c>
      <c r="R103" s="2" t="n">
        <v>3.4864879699808333</v>
      </c>
      <c r="S103" s="2" t="n">
        <v>144.0726564404103</v>
      </c>
      <c r="T103" s="2" t="n">
        <v>408.70280871548795</v>
      </c>
      <c r="U103" s="2" t="n">
        <v>0.00047579314906743804</v>
      </c>
      <c r="V103" s="2" t="n">
        <v>80.89712639270269</v>
      </c>
      <c r="W103" s="2" t="n">
        <v>0.0003602050882284077</v>
      </c>
      <c r="X103" s="2" t="n">
        <v>534.7711149277013</v>
      </c>
      <c r="Y103" s="2" t="n">
        <v>280.79546643790786</v>
      </c>
      <c r="Z103" s="2" t="n">
        <v>23.165417781561533</v>
      </c>
      <c r="AA103" s="2" t="n">
        <v>337.62172943591946</v>
      </c>
      <c r="AB103" s="2" t="n">
        <v>12.449785270526775</v>
      </c>
      <c r="AC103" s="2" t="n">
        <v>231.020249937156</v>
      </c>
      <c r="AD103" s="2" t="n">
        <v>0.5309219057566128</v>
      </c>
      <c r="AE103" s="2" t="n">
        <v>339.3267770467622</v>
      </c>
      <c r="AF103" s="2" t="n">
        <v>342.64689106022206</v>
      </c>
      <c r="AG103" s="2" t="n">
        <v>330.8533250351926</v>
      </c>
      <c r="AH103" s="2" t="n">
        <v>11.793566025029463</v>
      </c>
      <c r="AI103" s="2" t="n">
        <v>2.794016521866776</v>
      </c>
      <c r="AJ103" s="2" t="n">
        <v>342.3236673683168</v>
      </c>
      <c r="AK103" s="2" t="n">
        <v>342.4479200790218</v>
      </c>
      <c r="AL103" s="2" t="n">
        <v>342.5802312038914</v>
      </c>
      <c r="AM103" s="2" t="n">
        <v>13263199267.897284</v>
      </c>
      <c r="AN103" s="2" t="n">
        <v>13257832525.154991</v>
      </c>
      <c r="AO103" s="2" t="n">
        <v>339.3611115268016</v>
      </c>
      <c r="AP103" s="2" t="n">
        <v>282.3591486818263</v>
      </c>
      <c r="AQ103" s="2" t="n">
        <v>6.621842139652421</v>
      </c>
      <c r="AR103" s="2" t="n">
        <v>38.452065992285895</v>
      </c>
      <c r="AS103" s="2" t="n">
        <v>6.264777220172243</v>
      </c>
      <c r="AT103" s="2" t="n">
        <v>2.2327838287769053</v>
      </c>
      <c r="AU103" s="2" t="n">
        <v>296.26107135156406</v>
      </c>
      <c r="AV103" s="2" t="n">
        <v>177.1114966080504</v>
      </c>
      <c r="AW103" s="2" t="n">
        <v>7.652739322921752e-05</v>
      </c>
      <c r="AX103" s="2" t="n">
        <v>273</v>
      </c>
      <c r="AY103" s="2" t="n">
        <v>9.897092922983575e-07</v>
      </c>
      <c r="AZ103" s="2" t="s">
        <v>131</v>
      </c>
      <c r="BA103" s="2" t="n">
        <v>4.48</v>
      </c>
      <c r="BB103" s="2" t="s">
        <v>132</v>
      </c>
      <c r="BC103" s="2" t="n">
        <v>4</v>
      </c>
      <c r="BD103" s="2" t="s">
        <v>133</v>
      </c>
      <c r="BE103" s="2" t="n">
        <v>3000</v>
      </c>
      <c r="BF103" s="2" t="s">
        <v>134</v>
      </c>
      <c r="BG103" s="2" t="n">
        <v>120</v>
      </c>
    </row>
    <row r="104" customFormat="false" ht="15" hidden="false" customHeight="false" outlineLevel="0" collapsed="false">
      <c r="A104" s="2" t="s">
        <v>236</v>
      </c>
      <c r="B104" s="2" t="s">
        <v>128</v>
      </c>
      <c r="C104" s="2" t="s">
        <v>129</v>
      </c>
      <c r="D104" s="2" t="s">
        <v>130</v>
      </c>
      <c r="E104" s="2" t="n">
        <v>1</v>
      </c>
      <c r="F104" s="2" t="n">
        <v>400.05312036349414</v>
      </c>
      <c r="G104" s="2" t="n">
        <v>304.69414116100955</v>
      </c>
      <c r="H104" s="2" t="n">
        <v>292.37514189177887</v>
      </c>
      <c r="I104" s="2" t="n">
        <v>3.738868662592456</v>
      </c>
      <c r="J104" s="2" t="n">
        <v>0.0031753839608944004</v>
      </c>
      <c r="K104" s="2" t="n">
        <v>0.00026461533007453335</v>
      </c>
      <c r="L104" s="2" t="n">
        <v>25.62454189962877</v>
      </c>
      <c r="M104" s="2" t="n">
        <v>0.5465703673121804</v>
      </c>
      <c r="N104" s="2" t="n">
        <v>1.785178412845015</v>
      </c>
      <c r="O104" s="2" t="n">
        <v>5.198875</v>
      </c>
      <c r="P104" s="2" t="n">
        <v>2.8415510183601125</v>
      </c>
      <c r="Q104" s="2" t="n">
        <v>28.056939</v>
      </c>
      <c r="R104" s="2" t="n">
        <v>8.381706569262615</v>
      </c>
      <c r="S104" s="2" t="n">
        <v>69.16775605149043</v>
      </c>
      <c r="T104" s="2" t="n">
        <v>126.54867550107123</v>
      </c>
      <c r="U104" s="2" t="n">
        <v>0.0007088925331002408</v>
      </c>
      <c r="V104" s="2" t="n">
        <v>26.150012055112423</v>
      </c>
      <c r="W104" s="2" t="n">
        <v>8.328618741925698e-05</v>
      </c>
      <c r="X104" s="2" t="n">
        <v>259.59727017571385</v>
      </c>
      <c r="Y104" s="2" t="n">
        <v>275.9622937726567</v>
      </c>
      <c r="Z104" s="2" t="n">
        <v>19.907700917851333</v>
      </c>
      <c r="AA104" s="2" t="n">
        <v>312.9386443101827</v>
      </c>
      <c r="AB104" s="2" t="n">
        <v>8.24450314917317</v>
      </c>
      <c r="AC104" s="2" t="n">
        <v>109.43015561348847</v>
      </c>
      <c r="AD104" s="2" t="n">
        <v>0.5180664068136497</v>
      </c>
      <c r="AE104" s="2" t="n">
        <v>314.97726142745324</v>
      </c>
      <c r="AF104" s="2" t="n">
        <v>317.7481935978644</v>
      </c>
      <c r="AG104" s="2" t="n">
        <v>308.31155242634526</v>
      </c>
      <c r="AH104" s="2" t="n">
        <v>9.436641171519113</v>
      </c>
      <c r="AI104" s="2" t="n">
        <v>2.333021273308401</v>
      </c>
      <c r="AJ104" s="2" t="n">
        <v>317.49270106397057</v>
      </c>
      <c r="AK104" s="2" t="n">
        <v>317.60081828947904</v>
      </c>
      <c r="AL104" s="2" t="n">
        <v>317.69955887123945</v>
      </c>
      <c r="AM104" s="2" t="n">
        <v>9845980667.729591</v>
      </c>
      <c r="AN104" s="2" t="n">
        <v>9842758076.881748</v>
      </c>
      <c r="AO104" s="2" t="n">
        <v>315.00303972635993</v>
      </c>
      <c r="AP104" s="2" t="n">
        <v>137.0673586527769</v>
      </c>
      <c r="AQ104" s="2" t="n">
        <v>3.161960131866376</v>
      </c>
      <c r="AR104" s="2" t="n">
        <v>21.22390766590934</v>
      </c>
      <c r="AS104" s="2" t="n">
        <v>3.251538130542438</v>
      </c>
      <c r="AT104" s="2" t="n">
        <v>2.315853054922273</v>
      </c>
      <c r="AU104" s="2" t="n">
        <v>291.20682055113</v>
      </c>
      <c r="AV104" s="2" t="n">
        <v>107.30300491187778</v>
      </c>
      <c r="AW104" s="2" t="n">
        <v>-0.00014578303566823895</v>
      </c>
      <c r="AX104" s="2" t="n">
        <v>365</v>
      </c>
      <c r="AY104" s="2" t="n">
        <v>9.89204352208617e-07</v>
      </c>
      <c r="AZ104" s="2" t="s">
        <v>131</v>
      </c>
      <c r="BA104" s="2" t="n">
        <v>4.48</v>
      </c>
      <c r="BB104" s="2" t="s">
        <v>132</v>
      </c>
      <c r="BC104" s="2" t="n">
        <v>4</v>
      </c>
      <c r="BD104" s="2" t="s">
        <v>133</v>
      </c>
      <c r="BE104" s="2" t="n">
        <v>3000</v>
      </c>
      <c r="BF104" s="2" t="s">
        <v>134</v>
      </c>
      <c r="BG104" s="2" t="n">
        <v>120</v>
      </c>
    </row>
    <row r="105" customFormat="false" ht="15" hidden="false" customHeight="false" outlineLevel="0" collapsed="false">
      <c r="A105" s="2" t="s">
        <v>237</v>
      </c>
      <c r="B105" s="2" t="s">
        <v>128</v>
      </c>
      <c r="C105" s="2" t="s">
        <v>129</v>
      </c>
      <c r="D105" s="2" t="s">
        <v>130</v>
      </c>
      <c r="E105" s="2" t="n">
        <v>1</v>
      </c>
      <c r="F105" s="2" t="n">
        <v>521.6209208565308</v>
      </c>
      <c r="G105" s="2" t="n">
        <v>305.51523868580455</v>
      </c>
      <c r="H105" s="2" t="n">
        <v>298.4611634569098</v>
      </c>
      <c r="I105" s="2" t="n">
        <v>4.342836584555979</v>
      </c>
      <c r="J105" s="2" t="n">
        <v>0.0026540595860295763</v>
      </c>
      <c r="K105" s="2" t="n">
        <v>0.00022117163216913135</v>
      </c>
      <c r="L105" s="2" t="n">
        <v>23.320563790631237</v>
      </c>
      <c r="M105" s="2" t="n">
        <v>0.9472111647374385</v>
      </c>
      <c r="N105" s="2" t="n">
        <v>1.3647276077367683</v>
      </c>
      <c r="O105" s="2" t="n">
        <v>5.198875</v>
      </c>
      <c r="P105" s="2" t="n">
        <v>4.92443244407435</v>
      </c>
      <c r="Q105" s="2" t="n">
        <v>28.056939</v>
      </c>
      <c r="R105" s="2" t="n">
        <v>25.172937919607087</v>
      </c>
      <c r="S105" s="2" t="n">
        <v>61.805419395438484</v>
      </c>
      <c r="T105" s="2" t="n">
        <v>65.24988481588538</v>
      </c>
      <c r="U105" s="2" t="n">
        <v>0.0006630891973506654</v>
      </c>
      <c r="V105" s="2" t="n">
        <v>7.942856584883428</v>
      </c>
      <c r="W105" s="2" t="n">
        <v>2.1144247401773323e-05</v>
      </c>
      <c r="X105" s="2" t="n">
        <v>338.48346689024874</v>
      </c>
      <c r="Y105" s="2" t="n">
        <v>284.62354214346504</v>
      </c>
      <c r="Z105" s="2" t="n">
        <v>22.20277902131272</v>
      </c>
      <c r="AA105" s="2" t="n">
        <v>318.91558836447894</v>
      </c>
      <c r="AB105" s="2" t="n">
        <v>13.400349678674388</v>
      </c>
      <c r="AC105" s="2" t="n">
        <v>148.6630648570866</v>
      </c>
      <c r="AD105" s="2" t="n">
        <v>0.5397767299943952</v>
      </c>
      <c r="AE105" s="2" t="n">
        <v>323.34195786794464</v>
      </c>
      <c r="AF105" s="2" t="n">
        <v>328.4133269129116</v>
      </c>
      <c r="AG105" s="2" t="n">
        <v>311.3426339398181</v>
      </c>
      <c r="AH105" s="2" t="n">
        <v>17.070692973093514</v>
      </c>
      <c r="AI105" s="2" t="n">
        <v>4.283307869694701</v>
      </c>
      <c r="AJ105" s="2" t="n">
        <v>327.96157293675896</v>
      </c>
      <c r="AK105" s="2" t="n">
        <v>328.1553370340265</v>
      </c>
      <c r="AL105" s="2" t="n">
        <v>328.33204585115453</v>
      </c>
      <c r="AM105" s="2" t="n">
        <v>10942116636.005222</v>
      </c>
      <c r="AN105" s="2" t="n">
        <v>10930707041.208279</v>
      </c>
      <c r="AO105" s="2" t="n">
        <v>323.4263018523715</v>
      </c>
      <c r="AP105" s="2" t="n">
        <v>178.71927051805133</v>
      </c>
      <c r="AQ105" s="2" t="n">
        <v>3.6657931479169674</v>
      </c>
      <c r="AR105" s="2" t="n">
        <v>22.810864952957235</v>
      </c>
      <c r="AS105" s="2" t="n">
        <v>3.579348017250127</v>
      </c>
      <c r="AT105" s="2" t="n">
        <v>2.287894469655629</v>
      </c>
      <c r="AU105" s="2" t="n">
        <v>297.7941499318496</v>
      </c>
      <c r="AV105" s="2" t="n">
        <v>166.85661300212047</v>
      </c>
      <c r="AW105" s="2" t="n">
        <v>0.00011217322469565844</v>
      </c>
      <c r="AX105" s="2" t="n">
        <v>529</v>
      </c>
      <c r="AY105" s="2" t="n">
        <v>9.936665605891903e-07</v>
      </c>
      <c r="AZ105" s="2" t="s">
        <v>131</v>
      </c>
      <c r="BA105" s="2" t="n">
        <v>4.48</v>
      </c>
      <c r="BB105" s="2" t="s">
        <v>132</v>
      </c>
      <c r="BC105" s="2" t="n">
        <v>4</v>
      </c>
      <c r="BD105" s="2" t="s">
        <v>133</v>
      </c>
      <c r="BE105" s="2" t="n">
        <v>3000</v>
      </c>
      <c r="BF105" s="2" t="s">
        <v>134</v>
      </c>
      <c r="BG105" s="2" t="n">
        <v>120</v>
      </c>
    </row>
    <row r="106" customFormat="false" ht="15" hidden="false" customHeight="false" outlineLevel="0" collapsed="false">
      <c r="A106" s="2" t="s">
        <v>238</v>
      </c>
      <c r="B106" s="2" t="s">
        <v>128</v>
      </c>
      <c r="C106" s="2" t="s">
        <v>129</v>
      </c>
      <c r="D106" s="2" t="s">
        <v>130</v>
      </c>
      <c r="E106" s="2" t="n">
        <v>1</v>
      </c>
      <c r="F106" s="2" t="n">
        <v>983.1650887015024</v>
      </c>
      <c r="G106" s="2" t="n">
        <v>321.5094214115607</v>
      </c>
      <c r="H106" s="2" t="n">
        <v>311.5456317270946</v>
      </c>
      <c r="I106" s="2" t="n">
        <v>2.7570508807523315</v>
      </c>
      <c r="J106" s="2" t="n">
        <v>0.0031174745236878867</v>
      </c>
      <c r="K106" s="2" t="n">
        <v>0.00025978954364065725</v>
      </c>
      <c r="L106" s="2" t="n">
        <v>32.56174526949035</v>
      </c>
      <c r="M106" s="2" t="n">
        <v>0.40127568810032915</v>
      </c>
      <c r="N106" s="2" t="n">
        <v>0.6167587187095118</v>
      </c>
      <c r="O106" s="2" t="n">
        <v>5.198875</v>
      </c>
      <c r="P106" s="2" t="n">
        <v>2.086182142972599</v>
      </c>
      <c r="Q106" s="2" t="n">
        <v>28.056939</v>
      </c>
      <c r="R106" s="2" t="n">
        <v>4.517789421876189</v>
      </c>
      <c r="S106" s="2" t="n">
        <v>103.24632466365418</v>
      </c>
      <c r="T106" s="2" t="n">
        <v>257.29524046779517</v>
      </c>
      <c r="U106" s="2" t="n">
        <v>0.0004662471111086471</v>
      </c>
      <c r="V106" s="2" t="n">
        <v>65.40652609623659</v>
      </c>
      <c r="W106" s="2" t="n">
        <v>0.00020451672897486912</v>
      </c>
      <c r="X106" s="2" t="n">
        <v>637.9827082140258</v>
      </c>
      <c r="Y106" s="2" t="n">
        <v>303.5439470961433</v>
      </c>
      <c r="Z106" s="2" t="n">
        <v>16.176793346858858</v>
      </c>
      <c r="AA106" s="2" t="n">
        <v>343.8905508184363</v>
      </c>
      <c r="AB106" s="2" t="n">
        <v>22.381129406875573</v>
      </c>
      <c r="AC106" s="2" t="n">
        <v>291.64947108189887</v>
      </c>
      <c r="AD106" s="2" t="n">
        <v>0.5618246913477413</v>
      </c>
      <c r="AE106" s="2" t="n">
        <v>349.9888066960905</v>
      </c>
      <c r="AF106" s="2" t="n">
        <v>357.6801867462119</v>
      </c>
      <c r="AG106" s="2" t="n">
        <v>331.4604558175978</v>
      </c>
      <c r="AH106" s="2" t="n">
        <v>26.219730928614126</v>
      </c>
      <c r="AI106" s="2" t="n">
        <v>6.523384059833222</v>
      </c>
      <c r="AJ106" s="2" t="n">
        <v>357.03534712581626</v>
      </c>
      <c r="AK106" s="2" t="n">
        <v>357.3024453509011</v>
      </c>
      <c r="AL106" s="2" t="n">
        <v>357.5597952806687</v>
      </c>
      <c r="AM106" s="2" t="n">
        <v>15035281994.578032</v>
      </c>
      <c r="AN106" s="2" t="n">
        <v>15004330440.465742</v>
      </c>
      <c r="AO106" s="2" t="n">
        <v>350.1691600914001</v>
      </c>
      <c r="AP106" s="2" t="n">
        <v>336.8548699370057</v>
      </c>
      <c r="AQ106" s="2" t="n">
        <v>6.5003738280155305</v>
      </c>
      <c r="AR106" s="2" t="n">
        <v>33.174382602345354</v>
      </c>
      <c r="AS106" s="2" t="n">
        <v>5.530430412665935</v>
      </c>
      <c r="AT106" s="2" t="n">
        <v>2.2270867528365805</v>
      </c>
      <c r="AU106" s="2" t="n">
        <v>312.8340229177852</v>
      </c>
      <c r="AV106" s="2" t="n">
        <v>297.7272385685315</v>
      </c>
      <c r="AW106" s="2" t="n">
        <v>6.248858095205251e-05</v>
      </c>
      <c r="AX106" s="2" t="n">
        <v>491</v>
      </c>
      <c r="AY106" s="2" t="n">
        <v>9.904438229568768e-07</v>
      </c>
      <c r="AZ106" s="2" t="s">
        <v>131</v>
      </c>
      <c r="BA106" s="2" t="n">
        <v>4.48</v>
      </c>
      <c r="BB106" s="2" t="s">
        <v>132</v>
      </c>
      <c r="BC106" s="2" t="n">
        <v>4</v>
      </c>
      <c r="BD106" s="2" t="s">
        <v>133</v>
      </c>
      <c r="BE106" s="2" t="n">
        <v>3000</v>
      </c>
      <c r="BF106" s="2" t="s">
        <v>134</v>
      </c>
      <c r="BG106" s="2" t="n">
        <v>120</v>
      </c>
    </row>
    <row r="107" customFormat="false" ht="15" hidden="false" customHeight="false" outlineLevel="0" collapsed="false">
      <c r="A107" s="2" t="s">
        <v>239</v>
      </c>
      <c r="B107" s="2" t="s">
        <v>128</v>
      </c>
      <c r="C107" s="2" t="s">
        <v>129</v>
      </c>
      <c r="D107" s="2" t="s">
        <v>130</v>
      </c>
      <c r="E107" s="2" t="n">
        <v>1</v>
      </c>
      <c r="F107" s="2" t="n">
        <v>615.1602152306772</v>
      </c>
      <c r="G107" s="2" t="n">
        <v>329.1717686974042</v>
      </c>
      <c r="H107" s="2" t="n">
        <v>293.1093657930649</v>
      </c>
      <c r="I107" s="2" t="n">
        <v>2.7050780872034452</v>
      </c>
      <c r="J107" s="2" t="n">
        <v>0.002608437334417308</v>
      </c>
      <c r="K107" s="2" t="n">
        <v>0.000217369777868109</v>
      </c>
      <c r="L107" s="2" t="n">
        <v>33.165667471141056</v>
      </c>
      <c r="M107" s="2" t="n">
        <v>0.4877578115594764</v>
      </c>
      <c r="N107" s="2" t="n">
        <v>0.6852225067929573</v>
      </c>
      <c r="O107" s="2" t="n">
        <v>5.198875</v>
      </c>
      <c r="P107" s="2" t="n">
        <v>2.535791892571273</v>
      </c>
      <c r="Q107" s="2" t="n">
        <v>28.056939</v>
      </c>
      <c r="R107" s="2" t="n">
        <v>6.67496134219149</v>
      </c>
      <c r="S107" s="2" t="n">
        <v>90.70506684180135</v>
      </c>
      <c r="T107" s="2" t="n">
        <v>185.9633299399059</v>
      </c>
      <c r="U107" s="2" t="n">
        <v>0.0004440549355191986</v>
      </c>
      <c r="V107" s="2" t="n">
        <v>29.0031777683609</v>
      </c>
      <c r="W107" s="2" t="n">
        <v>7.588061354837977e-05</v>
      </c>
      <c r="X107" s="2" t="n">
        <v>399.18176978469296</v>
      </c>
      <c r="Y107" s="2" t="n">
        <v>277.00245708684656</v>
      </c>
      <c r="Z107" s="2" t="n">
        <v>15.97929673137309</v>
      </c>
      <c r="AA107" s="2" t="n">
        <v>342.68378600072157</v>
      </c>
      <c r="AB107" s="2" t="n">
        <v>13.51201730331735</v>
      </c>
      <c r="AC107" s="2" t="n">
        <v>147.3251466605704</v>
      </c>
      <c r="AD107" s="2" t="n">
        <v>0.4535808592135989</v>
      </c>
      <c r="AE107" s="2" t="n">
        <v>347.45578292706836</v>
      </c>
      <c r="AF107" s="2" t="n">
        <v>352.61991268826046</v>
      </c>
      <c r="AG107" s="2" t="n">
        <v>335.22127591212603</v>
      </c>
      <c r="AH107" s="2" t="n">
        <v>17.398636776134424</v>
      </c>
      <c r="AI107" s="2" t="n">
        <v>4.4210610567883215</v>
      </c>
      <c r="AJ107" s="2" t="n">
        <v>352.23703867997574</v>
      </c>
      <c r="AK107" s="2" t="n">
        <v>352.39759063924254</v>
      </c>
      <c r="AL107" s="2" t="n">
        <v>352.55139103950086</v>
      </c>
      <c r="AM107" s="2" t="n">
        <v>14588687909.658566</v>
      </c>
      <c r="AN107" s="2" t="n">
        <v>14574651442.322155</v>
      </c>
      <c r="AO107" s="2" t="n">
        <v>347.53940913582335</v>
      </c>
      <c r="AP107" s="2" t="n">
        <v>210.76797444631788</v>
      </c>
      <c r="AQ107" s="2" t="n">
        <v>8.407771928176267</v>
      </c>
      <c r="AR107" s="2" t="n">
        <v>47.21658397972121</v>
      </c>
      <c r="AS107" s="2" t="n">
        <v>7.818268870344861</v>
      </c>
      <c r="AT107" s="2" t="n">
        <v>2.21094374096577</v>
      </c>
      <c r="AU107" s="2" t="n">
        <v>294.5739557188445</v>
      </c>
      <c r="AV107" s="2" t="n">
        <v>170.41698543021187</v>
      </c>
      <c r="AW107" s="2" t="n">
        <v>9.788294841311475e-05</v>
      </c>
      <c r="AX107" s="2" t="n">
        <v>563</v>
      </c>
      <c r="AY107" s="2" t="n">
        <v>9.83729535164457e-07</v>
      </c>
      <c r="AZ107" s="2" t="s">
        <v>131</v>
      </c>
      <c r="BA107" s="2" t="n">
        <v>4.48</v>
      </c>
      <c r="BB107" s="2" t="s">
        <v>132</v>
      </c>
      <c r="BC107" s="2" t="n">
        <v>4</v>
      </c>
      <c r="BD107" s="2" t="s">
        <v>133</v>
      </c>
      <c r="BE107" s="2" t="n">
        <v>3000</v>
      </c>
      <c r="BF107" s="2" t="s">
        <v>134</v>
      </c>
      <c r="BG107" s="2" t="n">
        <v>120</v>
      </c>
    </row>
    <row r="108" customFormat="false" ht="15" hidden="false" customHeight="false" outlineLevel="0" collapsed="false">
      <c r="A108" s="2" t="s">
        <v>240</v>
      </c>
      <c r="B108" s="2" t="s">
        <v>128</v>
      </c>
      <c r="C108" s="2" t="s">
        <v>129</v>
      </c>
      <c r="D108" s="2" t="s">
        <v>130</v>
      </c>
      <c r="E108" s="2" t="n">
        <v>1</v>
      </c>
      <c r="F108" s="2" t="n">
        <v>624.1820808313238</v>
      </c>
      <c r="G108" s="2" t="n">
        <v>304.0054009187005</v>
      </c>
      <c r="H108" s="2" t="n">
        <v>285.57626017315744</v>
      </c>
      <c r="I108" s="2" t="n">
        <v>1.0005554785615667</v>
      </c>
      <c r="J108" s="2" t="n">
        <v>0.0022542180438299454</v>
      </c>
      <c r="K108" s="2" t="n">
        <v>0.00018785150365249544</v>
      </c>
      <c r="L108" s="2" t="n">
        <v>30.440041364253183</v>
      </c>
      <c r="M108" s="2" t="n">
        <v>0.8856975812869429</v>
      </c>
      <c r="N108" s="2" t="n">
        <v>1.1681824591254002</v>
      </c>
      <c r="O108" s="2" t="n">
        <v>5.198875</v>
      </c>
      <c r="P108" s="2" t="n">
        <v>4.604631012913155</v>
      </c>
      <c r="Q108" s="2" t="n">
        <v>28.056939</v>
      </c>
      <c r="R108" s="2" t="n">
        <v>22.009552133571965</v>
      </c>
      <c r="S108" s="2" t="n">
        <v>52.98264562237256</v>
      </c>
      <c r="T108" s="2" t="n">
        <v>59.82024422533403</v>
      </c>
      <c r="U108" s="2" t="n">
        <v>0.0006569769352055745</v>
      </c>
      <c r="V108" s="2" t="n">
        <v>7.661787023600374</v>
      </c>
      <c r="W108" s="2" t="n">
        <v>1.7323308482028177e-05</v>
      </c>
      <c r="X108" s="2" t="n">
        <v>405.0361215260118</v>
      </c>
      <c r="Y108" s="2" t="n">
        <v>266.3926453798722</v>
      </c>
      <c r="Z108" s="2" t="n">
        <v>9.502110818533954</v>
      </c>
      <c r="AA108" s="2" t="n">
        <v>321.3793492936342</v>
      </c>
      <c r="AB108" s="2" t="n">
        <v>17.37394837493372</v>
      </c>
      <c r="AC108" s="2" t="n">
        <v>163.70831190286438</v>
      </c>
      <c r="AD108" s="2" t="n">
        <v>0.4967358572921605</v>
      </c>
      <c r="AE108" s="2" t="n">
        <v>328.389707167265</v>
      </c>
      <c r="AF108" s="2" t="n">
        <v>335.4544148406675</v>
      </c>
      <c r="AG108" s="2" t="n">
        <v>311.9022913056325</v>
      </c>
      <c r="AH108" s="2" t="n">
        <v>23.55212353503498</v>
      </c>
      <c r="AI108" s="2" t="n">
        <v>6.049419408425715</v>
      </c>
      <c r="AJ108" s="2" t="n">
        <v>334.9466931088279</v>
      </c>
      <c r="AK108" s="2" t="n">
        <v>335.1592630035019</v>
      </c>
      <c r="AL108" s="2" t="n">
        <v>335.3610225134145</v>
      </c>
      <c r="AM108" s="2" t="n">
        <v>11652831835.499748</v>
      </c>
      <c r="AN108" s="2" t="n">
        <v>11629422415.167444</v>
      </c>
      <c r="AO108" s="2" t="n">
        <v>328.5548404028829</v>
      </c>
      <c r="AP108" s="2" t="n">
        <v>213.85907216573423</v>
      </c>
      <c r="AQ108" s="2" t="n">
        <v>5.935938727793991</v>
      </c>
      <c r="AR108" s="2" t="n">
        <v>38.05548123122746</v>
      </c>
      <c r="AS108" s="2" t="n">
        <v>6.159137207533767</v>
      </c>
      <c r="AT108" s="2" t="n">
        <v>2.2185202819789795</v>
      </c>
      <c r="AU108" s="2" t="n">
        <v>285.7681701314667</v>
      </c>
      <c r="AV108" s="2" t="n">
        <v>203.11299071814636</v>
      </c>
      <c r="AW108" s="2" t="n">
        <v>9.470024231099174e-05</v>
      </c>
      <c r="AX108" s="2" t="n">
        <v>679</v>
      </c>
      <c r="AY108" s="2" t="n">
        <v>9.994047900363512e-07</v>
      </c>
      <c r="AZ108" s="2" t="s">
        <v>131</v>
      </c>
      <c r="BA108" s="2" t="n">
        <v>4.48</v>
      </c>
      <c r="BB108" s="2" t="s">
        <v>132</v>
      </c>
      <c r="BC108" s="2" t="n">
        <v>4</v>
      </c>
      <c r="BD108" s="2" t="s">
        <v>133</v>
      </c>
      <c r="BE108" s="2" t="n">
        <v>3000</v>
      </c>
      <c r="BF108" s="2" t="s">
        <v>134</v>
      </c>
      <c r="BG108" s="2" t="n">
        <v>120</v>
      </c>
    </row>
    <row r="109" customFormat="false" ht="15" hidden="false" customHeight="false" outlineLevel="0" collapsed="false">
      <c r="A109" s="2" t="s">
        <v>241</v>
      </c>
      <c r="B109" s="2" t="s">
        <v>128</v>
      </c>
      <c r="C109" s="2" t="s">
        <v>129</v>
      </c>
      <c r="D109" s="2" t="s">
        <v>130</v>
      </c>
      <c r="E109" s="2" t="n">
        <v>1</v>
      </c>
      <c r="F109" s="2" t="n">
        <v>479.83770536428483</v>
      </c>
      <c r="G109" s="2" t="n">
        <v>301.4274661775026</v>
      </c>
      <c r="H109" s="2" t="n">
        <v>290.98388217733736</v>
      </c>
      <c r="I109" s="2" t="n">
        <v>4.5537636302594215</v>
      </c>
      <c r="J109" s="2" t="n">
        <v>0.004361603921306915</v>
      </c>
      <c r="K109" s="2" t="n">
        <v>0.0003634669934422429</v>
      </c>
      <c r="L109" s="2" t="n">
        <v>23.43958517997594</v>
      </c>
      <c r="M109" s="2" t="n">
        <v>0.7366945559267061</v>
      </c>
      <c r="N109" s="2" t="n">
        <v>1.1450334408875098</v>
      </c>
      <c r="O109" s="2" t="n">
        <v>5.198875</v>
      </c>
      <c r="P109" s="2" t="n">
        <v>3.829982909443454</v>
      </c>
      <c r="Q109" s="2" t="n">
        <v>28.056939</v>
      </c>
      <c r="R109" s="2" t="n">
        <v>15.22703019416404</v>
      </c>
      <c r="S109" s="2" t="n">
        <v>88.38777834681856</v>
      </c>
      <c r="T109" s="2" t="n">
        <v>119.978867273742</v>
      </c>
      <c r="U109" s="2" t="n">
        <v>0.0007619769749512858</v>
      </c>
      <c r="V109" s="2" t="n">
        <v>25.014993193499972</v>
      </c>
      <c r="W109" s="2" t="n">
        <v>0.00010943379378559203</v>
      </c>
      <c r="X109" s="2" t="n">
        <v>311.3700458748219</v>
      </c>
      <c r="Y109" s="2" t="n">
        <v>273.99489948514815</v>
      </c>
      <c r="Z109" s="2" t="n">
        <v>23.0043017949858</v>
      </c>
      <c r="AA109" s="2" t="n">
        <v>309.145889842686</v>
      </c>
      <c r="AB109" s="2" t="n">
        <v>7.718423665183423</v>
      </c>
      <c r="AC109" s="2" t="n">
        <v>140.7184749438754</v>
      </c>
      <c r="AD109" s="2" t="n">
        <v>0.5554216773126395</v>
      </c>
      <c r="AE109" s="2" t="n">
        <v>310.14688701210696</v>
      </c>
      <c r="AF109" s="2" t="n">
        <v>312.20466696358596</v>
      </c>
      <c r="AG109" s="2" t="n">
        <v>304.86200946997633</v>
      </c>
      <c r="AH109" s="2" t="n">
        <v>7.342657493609636</v>
      </c>
      <c r="AI109" s="2" t="n">
        <v>1.7166923232019666</v>
      </c>
      <c r="AJ109" s="2" t="n">
        <v>311.9880415072293</v>
      </c>
      <c r="AK109" s="2" t="n">
        <v>312.074481448587</v>
      </c>
      <c r="AL109" s="2" t="n">
        <v>312.16149887453923</v>
      </c>
      <c r="AM109" s="2" t="n">
        <v>9254420752.486814</v>
      </c>
      <c r="AN109" s="2" t="n">
        <v>9252726088.444</v>
      </c>
      <c r="AO109" s="2" t="n">
        <v>310.1610871158698</v>
      </c>
      <c r="AP109" s="2" t="n">
        <v>164.40338422190598</v>
      </c>
      <c r="AQ109" s="2" t="n">
        <v>2.6377198645539153</v>
      </c>
      <c r="AR109" s="2" t="n">
        <v>18.290604113664163</v>
      </c>
      <c r="AS109" s="2" t="n">
        <v>2.7567875135637507</v>
      </c>
      <c r="AT109" s="2" t="n">
        <v>2.340853280073918</v>
      </c>
      <c r="AU109" s="2" t="n">
        <v>289.66169971672315</v>
      </c>
      <c r="AV109" s="2" t="n">
        <v>106.16127319284043</v>
      </c>
      <c r="AW109" s="2" t="n">
        <v>-0.0001239423120416762</v>
      </c>
      <c r="AX109" s="2" t="n">
        <v>268</v>
      </c>
      <c r="AY109" s="2" t="n">
        <v>9.872332498161995e-07</v>
      </c>
      <c r="AZ109" s="2" t="s">
        <v>131</v>
      </c>
      <c r="BA109" s="2" t="n">
        <v>4.48</v>
      </c>
      <c r="BB109" s="2" t="s">
        <v>132</v>
      </c>
      <c r="BC109" s="2" t="n">
        <v>4</v>
      </c>
      <c r="BD109" s="2" t="s">
        <v>133</v>
      </c>
      <c r="BE109" s="2" t="n">
        <v>3000</v>
      </c>
      <c r="BF109" s="2" t="s">
        <v>134</v>
      </c>
      <c r="BG109" s="2" t="n">
        <v>120</v>
      </c>
    </row>
    <row r="110" customFormat="false" ht="15" hidden="false" customHeight="false" outlineLevel="0" collapsed="false">
      <c r="A110" s="2" t="s">
        <v>242</v>
      </c>
      <c r="B110" s="2" t="s">
        <v>128</v>
      </c>
      <c r="C110" s="2" t="s">
        <v>129</v>
      </c>
      <c r="D110" s="2" t="s">
        <v>130</v>
      </c>
      <c r="E110" s="2" t="n">
        <v>1</v>
      </c>
      <c r="F110" s="2" t="n">
        <v>674.6621779799772</v>
      </c>
      <c r="G110" s="2" t="n">
        <v>309.00295320588293</v>
      </c>
      <c r="H110" s="2" t="n">
        <v>301.36535952259914</v>
      </c>
      <c r="I110" s="2" t="n">
        <v>1.4731536446593185</v>
      </c>
      <c r="J110" s="2" t="n">
        <v>0.0034195854821093643</v>
      </c>
      <c r="K110" s="2" t="n">
        <v>0.00028496545684244704</v>
      </c>
      <c r="L110" s="2" t="n">
        <v>27.47710876051156</v>
      </c>
      <c r="M110" s="2" t="n">
        <v>0.7683078744158002</v>
      </c>
      <c r="N110" s="2" t="n">
        <v>1.9125768919058006</v>
      </c>
      <c r="O110" s="2" t="n">
        <v>5.198875</v>
      </c>
      <c r="P110" s="2" t="n">
        <v>3.994336600603443</v>
      </c>
      <c r="Q110" s="2" t="n">
        <v>28.056939</v>
      </c>
      <c r="R110" s="2" t="n">
        <v>16.5619266372084</v>
      </c>
      <c r="S110" s="2" t="n">
        <v>85.55217614258716</v>
      </c>
      <c r="T110" s="2" t="n">
        <v>111.35142433316679</v>
      </c>
      <c r="U110" s="2" t="n">
        <v>0.000617206150569274</v>
      </c>
      <c r="V110" s="2" t="n">
        <v>12.874438462628834</v>
      </c>
      <c r="W110" s="2" t="n">
        <v>4.415771600513136e-05</v>
      </c>
      <c r="X110" s="2" t="n">
        <v>437.793009926453</v>
      </c>
      <c r="Y110" s="2" t="n">
        <v>288.78795405650146</v>
      </c>
      <c r="Z110" s="2" t="n">
        <v>11.29798384970541</v>
      </c>
      <c r="AA110" s="2" t="n">
        <v>323.0546538844896</v>
      </c>
      <c r="AB110" s="2" t="n">
        <v>14.051700678606664</v>
      </c>
      <c r="AC110" s="2" t="n">
        <v>200.85314505315037</v>
      </c>
      <c r="AD110" s="2" t="n">
        <v>0.5638432036486184</v>
      </c>
      <c r="AE110" s="2" t="n">
        <v>326.22665791998605</v>
      </c>
      <c r="AF110" s="2" t="n">
        <v>330.77808096363333</v>
      </c>
      <c r="AG110" s="2" t="n">
        <v>315.2027765421076</v>
      </c>
      <c r="AH110" s="2" t="n">
        <v>15.575304421525743</v>
      </c>
      <c r="AI110" s="2" t="n">
        <v>3.8206034241949625</v>
      </c>
      <c r="AJ110" s="2" t="n">
        <v>330.34694280876636</v>
      </c>
      <c r="AK110" s="2" t="n">
        <v>330.52388616647096</v>
      </c>
      <c r="AL110" s="2" t="n">
        <v>330.69397590799866</v>
      </c>
      <c r="AM110" s="2" t="n">
        <v>11335286909.12435</v>
      </c>
      <c r="AN110" s="2" t="n">
        <v>11326032089.430876</v>
      </c>
      <c r="AO110" s="2" t="n">
        <v>326.2932797556869</v>
      </c>
      <c r="AP110" s="2" t="n">
        <v>231.1547092411672</v>
      </c>
      <c r="AQ110" s="2" t="n">
        <v>3.784533444638936</v>
      </c>
      <c r="AR110" s="2" t="n">
        <v>22.94027922818634</v>
      </c>
      <c r="AS110" s="2" t="n">
        <v>3.5765433231297417</v>
      </c>
      <c r="AT110" s="2" t="n">
        <v>2.308380085237229</v>
      </c>
      <c r="AU110" s="2" t="n">
        <v>300.53390804264683</v>
      </c>
      <c r="AV110" s="2" t="n">
        <v>188.90933298049305</v>
      </c>
      <c r="AW110" s="2" t="n">
        <v>8.931128949020485e-05</v>
      </c>
      <c r="AX110" s="2" t="n">
        <v>393</v>
      </c>
      <c r="AY110" s="2" t="n">
        <v>9.96945573206176e-07</v>
      </c>
      <c r="AZ110" s="2" t="s">
        <v>131</v>
      </c>
      <c r="BA110" s="2" t="n">
        <v>4.48</v>
      </c>
      <c r="BB110" s="2" t="s">
        <v>132</v>
      </c>
      <c r="BC110" s="2" t="n">
        <v>4</v>
      </c>
      <c r="BD110" s="2" t="s">
        <v>133</v>
      </c>
      <c r="BE110" s="2" t="n">
        <v>3000</v>
      </c>
      <c r="BF110" s="2" t="s">
        <v>134</v>
      </c>
      <c r="BG110" s="2" t="n">
        <v>120</v>
      </c>
    </row>
    <row r="111" customFormat="false" ht="15" hidden="false" customHeight="false" outlineLevel="0" collapsed="false">
      <c r="A111" s="2" t="s">
        <v>243</v>
      </c>
      <c r="B111" s="2" t="s">
        <v>128</v>
      </c>
      <c r="C111" s="2" t="s">
        <v>129</v>
      </c>
      <c r="D111" s="2" t="s">
        <v>130</v>
      </c>
      <c r="E111" s="2" t="n">
        <v>1</v>
      </c>
      <c r="F111" s="2" t="n">
        <v>669.1468958966466</v>
      </c>
      <c r="G111" s="2" t="n">
        <v>306.2676291218688</v>
      </c>
      <c r="H111" s="2" t="n">
        <v>289.85543697389545</v>
      </c>
      <c r="I111" s="2" t="n">
        <v>2.3914126621628244</v>
      </c>
      <c r="J111" s="2" t="n">
        <v>0.004051113687223751</v>
      </c>
      <c r="K111" s="2" t="n">
        <v>0.0003375928072686459</v>
      </c>
      <c r="L111" s="2" t="n">
        <v>35.84100874601778</v>
      </c>
      <c r="M111" s="2" t="n">
        <v>0.4768526762579901</v>
      </c>
      <c r="N111" s="2" t="n">
        <v>0.9806899898918333</v>
      </c>
      <c r="O111" s="2" t="n">
        <v>5.198875</v>
      </c>
      <c r="P111" s="2" t="n">
        <v>2.4790974572807585</v>
      </c>
      <c r="Q111" s="2" t="n">
        <v>28.056939</v>
      </c>
      <c r="R111" s="2" t="n">
        <v>6.379824568293146</v>
      </c>
      <c r="S111" s="2" t="n">
        <v>93.9080753824377</v>
      </c>
      <c r="T111" s="2" t="n">
        <v>196.93309916883197</v>
      </c>
      <c r="U111" s="2" t="n">
        <v>0.0006661305208798854</v>
      </c>
      <c r="V111" s="2" t="n">
        <v>58.81670800719446</v>
      </c>
      <c r="W111" s="2" t="n">
        <v>0.00023899014126919585</v>
      </c>
      <c r="X111" s="2" t="n">
        <v>434.2141047756052</v>
      </c>
      <c r="Y111" s="2" t="n">
        <v>272.4026036858944</v>
      </c>
      <c r="Z111" s="2" t="n">
        <v>14.787368116218733</v>
      </c>
      <c r="AA111" s="2" t="n">
        <v>317.698934121091</v>
      </c>
      <c r="AB111" s="2" t="n">
        <v>11.431304999222164</v>
      </c>
      <c r="AC111" s="2" t="n">
        <v>193.57377748684488</v>
      </c>
      <c r="AD111" s="2" t="n">
        <v>0.5478871755427228</v>
      </c>
      <c r="AE111" s="2" t="n">
        <v>319.52143999844367</v>
      </c>
      <c r="AF111" s="2" t="n">
        <v>322.7103060895493</v>
      </c>
      <c r="AG111" s="2" t="n">
        <v>311.56296370489486</v>
      </c>
      <c r="AH111" s="2" t="n">
        <v>11.14734238465445</v>
      </c>
      <c r="AI111" s="2" t="n">
        <v>2.6891590173149478</v>
      </c>
      <c r="AJ111" s="2" t="n">
        <v>322.41552585975853</v>
      </c>
      <c r="AK111" s="2" t="n">
        <v>322.5316738553026</v>
      </c>
      <c r="AL111" s="2" t="n">
        <v>322.65096487543246</v>
      </c>
      <c r="AM111" s="2" t="n">
        <v>10427581947.958467</v>
      </c>
      <c r="AN111" s="2" t="n">
        <v>10423174752.929274</v>
      </c>
      <c r="AO111" s="2" t="n">
        <v>319.555210181412</v>
      </c>
      <c r="AP111" s="2" t="n">
        <v>229.26504732151957</v>
      </c>
      <c r="AQ111" s="2" t="n">
        <v>4.11825886437792</v>
      </c>
      <c r="AR111" s="2" t="n">
        <v>27.30506378697367</v>
      </c>
      <c r="AS111" s="2" t="n">
        <v>4.267747538581782</v>
      </c>
      <c r="AT111" s="2" t="n">
        <v>2.278604970938469</v>
      </c>
      <c r="AU111" s="2" t="n">
        <v>288.9402004553115</v>
      </c>
      <c r="AV111" s="2" t="n">
        <v>157.00000363744223</v>
      </c>
      <c r="AW111" s="2" t="n">
        <v>8.930569985329074e-05</v>
      </c>
      <c r="AX111" s="2" t="n">
        <v>285</v>
      </c>
      <c r="AY111" s="2" t="n">
        <v>9.743675377649197e-07</v>
      </c>
      <c r="AZ111" s="2" t="s">
        <v>131</v>
      </c>
      <c r="BA111" s="2" t="n">
        <v>4.48</v>
      </c>
      <c r="BB111" s="2" t="s">
        <v>132</v>
      </c>
      <c r="BC111" s="2" t="n">
        <v>4</v>
      </c>
      <c r="BD111" s="2" t="s">
        <v>133</v>
      </c>
      <c r="BE111" s="2" t="n">
        <v>3000</v>
      </c>
      <c r="BF111" s="2" t="s">
        <v>134</v>
      </c>
      <c r="BG111" s="2" t="n">
        <v>120</v>
      </c>
    </row>
    <row r="112" customFormat="false" ht="15" hidden="false" customHeight="false" outlineLevel="0" collapsed="false">
      <c r="A112" s="2" t="s">
        <v>244</v>
      </c>
      <c r="B112" s="2" t="s">
        <v>128</v>
      </c>
      <c r="C112" s="2" t="s">
        <v>129</v>
      </c>
      <c r="D112" s="2" t="s">
        <v>130</v>
      </c>
      <c r="E112" s="2" t="n">
        <v>1</v>
      </c>
      <c r="F112" s="2" t="n">
        <v>790.4050892565067</v>
      </c>
      <c r="G112" s="2" t="n">
        <v>317.25988754299954</v>
      </c>
      <c r="H112" s="2" t="n">
        <v>285.7372374692516</v>
      </c>
      <c r="I112" s="2" t="n">
        <v>1.0850208740335952</v>
      </c>
      <c r="J112" s="2" t="n">
        <v>0.002713781989708252</v>
      </c>
      <c r="K112" s="2" t="n">
        <v>0.00022614849914235434</v>
      </c>
      <c r="L112" s="2" t="n">
        <v>21.382292134067207</v>
      </c>
      <c r="M112" s="2" t="n">
        <v>0.5739429259586738</v>
      </c>
      <c r="N112" s="2" t="n">
        <v>0.5556756764564335</v>
      </c>
      <c r="O112" s="2" t="n">
        <v>5.198875</v>
      </c>
      <c r="P112" s="2" t="n">
        <v>2.9838575291934</v>
      </c>
      <c r="Q112" s="2" t="n">
        <v>28.056939</v>
      </c>
      <c r="R112" s="2" t="n">
        <v>9.242249806673392</v>
      </c>
      <c r="S112" s="2" t="n">
        <v>81.26719362611554</v>
      </c>
      <c r="T112" s="2" t="n">
        <v>141.59455574850506</v>
      </c>
      <c r="U112" s="2" t="n">
        <v>0.0005156411101951544</v>
      </c>
      <c r="V112" s="2" t="n">
        <v>25.013288904052345</v>
      </c>
      <c r="W112" s="2" t="n">
        <v>6.808486753378788e-05</v>
      </c>
      <c r="X112" s="2" t="n">
        <v>512.899395254172</v>
      </c>
      <c r="Y112" s="2" t="n">
        <v>266.6179225635888</v>
      </c>
      <c r="Z112" s="2" t="n">
        <v>9.823079321327661</v>
      </c>
      <c r="AA112" s="2" t="n">
        <v>335.46167801136284</v>
      </c>
      <c r="AB112" s="2" t="n">
        <v>18.2017904683633</v>
      </c>
      <c r="AC112" s="2" t="n">
        <v>206.47398902157838</v>
      </c>
      <c r="AD112" s="2" t="n">
        <v>0.4947453235651823</v>
      </c>
      <c r="AE112" s="2" t="n">
        <v>341.5386661313539</v>
      </c>
      <c r="AF112" s="2" t="n">
        <v>348.45835749870395</v>
      </c>
      <c r="AG112" s="2" t="n">
        <v>325.11267925773546</v>
      </c>
      <c r="AH112" s="2" t="n">
        <v>23.345678240968482</v>
      </c>
      <c r="AI112" s="2" t="n">
        <v>5.862545517872733</v>
      </c>
      <c r="AJ112" s="2" t="n">
        <v>347.8587918406996</v>
      </c>
      <c r="AK112" s="2" t="n">
        <v>348.1132027641718</v>
      </c>
      <c r="AL112" s="2" t="n">
        <v>348.34984812174116</v>
      </c>
      <c r="AM112" s="2" t="n">
        <v>13630715972.520767</v>
      </c>
      <c r="AN112" s="2" t="n">
        <v>13606909987.76197</v>
      </c>
      <c r="AO112" s="2" t="n">
        <v>341.6879530625072</v>
      </c>
      <c r="AP112" s="2" t="n">
        <v>270.8108806942028</v>
      </c>
      <c r="AQ112" s="2" t="n">
        <v>8.09321675268141</v>
      </c>
      <c r="AR112" s="2" t="n">
        <v>48.21588599786512</v>
      </c>
      <c r="AS112" s="2" t="n">
        <v>8.027586649437417</v>
      </c>
      <c r="AT112" s="2" t="n">
        <v>2.1836389595012213</v>
      </c>
      <c r="AU112" s="2" t="n">
        <v>287.53763646928434</v>
      </c>
      <c r="AV112" s="2" t="n">
        <v>233.01941698794258</v>
      </c>
      <c r="AW112" s="2" t="n">
        <v>7.49389096680395e-05</v>
      </c>
      <c r="AX112" s="2" t="n">
        <v>565</v>
      </c>
      <c r="AY112" s="2" t="n">
        <v>9.782162919691473e-07</v>
      </c>
      <c r="AZ112" s="2" t="s">
        <v>131</v>
      </c>
      <c r="BA112" s="2" t="n">
        <v>4.48</v>
      </c>
      <c r="BB112" s="2" t="s">
        <v>132</v>
      </c>
      <c r="BC112" s="2" t="n">
        <v>4</v>
      </c>
      <c r="BD112" s="2" t="s">
        <v>133</v>
      </c>
      <c r="BE112" s="2" t="n">
        <v>3000</v>
      </c>
      <c r="BF112" s="2" t="s">
        <v>134</v>
      </c>
      <c r="BG112" s="2" t="n">
        <v>120</v>
      </c>
    </row>
    <row r="113" customFormat="false" ht="15" hidden="false" customHeight="false" outlineLevel="0" collapsed="false">
      <c r="A113" s="2" t="s">
        <v>245</v>
      </c>
      <c r="B113" s="2" t="s">
        <v>128</v>
      </c>
      <c r="C113" s="2" t="s">
        <v>129</v>
      </c>
      <c r="D113" s="2" t="s">
        <v>130</v>
      </c>
      <c r="E113" s="2" t="n">
        <v>1</v>
      </c>
      <c r="F113" s="2" t="n">
        <v>985.5464013389994</v>
      </c>
      <c r="G113" s="2" t="n">
        <v>302.891402363758</v>
      </c>
      <c r="H113" s="2" t="n">
        <v>300.36480374510984</v>
      </c>
      <c r="I113" s="2" t="n">
        <v>0.9819696977569864</v>
      </c>
      <c r="J113" s="2" t="n">
        <v>0.0019967121552103926</v>
      </c>
      <c r="K113" s="2" t="n">
        <v>0.00016639267960086605</v>
      </c>
      <c r="L113" s="2" t="n">
        <v>20.785491715277725</v>
      </c>
      <c r="M113" s="2" t="n">
        <v>0.9436105759726071</v>
      </c>
      <c r="N113" s="2" t="n">
        <v>1.873057785166725</v>
      </c>
      <c r="O113" s="2" t="n">
        <v>5.198875</v>
      </c>
      <c r="P113" s="2" t="n">
        <v>4.905713433159588</v>
      </c>
      <c r="Q113" s="2" t="n">
        <v>28.056939</v>
      </c>
      <c r="R113" s="2" t="n">
        <v>24.98192427237786</v>
      </c>
      <c r="S113" s="2" t="n">
        <v>53.23738792147905</v>
      </c>
      <c r="T113" s="2" t="n">
        <v>56.4188122484805</v>
      </c>
      <c r="U113" s="2" t="n">
        <v>0.0005791440042187148</v>
      </c>
      <c r="V113" s="2" t="n">
        <v>5.1639891791256165</v>
      </c>
      <c r="W113" s="2" t="n">
        <v>1.0342026041459433e-05</v>
      </c>
      <c r="X113" s="2" t="n">
        <v>639.527958653686</v>
      </c>
      <c r="Y113" s="2" t="n">
        <v>287.3509516876711</v>
      </c>
      <c r="Z113" s="2" t="n">
        <v>9.431484851476547</v>
      </c>
      <c r="AA113" s="2" t="n">
        <v>336.15659402566695</v>
      </c>
      <c r="AB113" s="2" t="n">
        <v>33.26519166190894</v>
      </c>
      <c r="AC113" s="2" t="n">
        <v>277.63983240356055</v>
      </c>
      <c r="AD113" s="2" t="n">
        <v>0.5335446562449199</v>
      </c>
      <c r="AE113" s="2" t="n">
        <v>352.06302647599756</v>
      </c>
      <c r="AF113" s="2" t="n">
        <v>366.8008397699433</v>
      </c>
      <c r="AG113" s="2" t="n">
        <v>317.91849234232444</v>
      </c>
      <c r="AH113" s="2" t="n">
        <v>48.88234742761887</v>
      </c>
      <c r="AI113" s="2" t="n">
        <v>12.631522572721455</v>
      </c>
      <c r="AJ113" s="2" t="n">
        <v>365.7137938124991</v>
      </c>
      <c r="AK113" s="2" t="n">
        <v>366.1810926946294</v>
      </c>
      <c r="AL113" s="2" t="n">
        <v>366.6137550794687</v>
      </c>
      <c r="AM113" s="2" t="n">
        <v>15479588204.403034</v>
      </c>
      <c r="AN113" s="2" t="n">
        <v>15363199568.817616</v>
      </c>
      <c r="AO113" s="2" t="n">
        <v>352.7279308901364</v>
      </c>
      <c r="AP113" s="2" t="n">
        <v>337.67076216914626</v>
      </c>
      <c r="AQ113" s="2" t="n">
        <v>8.446762517543117</v>
      </c>
      <c r="AR113" s="2" t="n">
        <v>44.14666674623955</v>
      </c>
      <c r="AS113" s="2" t="n">
        <v>7.4372999499199945</v>
      </c>
      <c r="AT113" s="2" t="n">
        <v>2.199204087337478</v>
      </c>
      <c r="AU113" s="2" t="n">
        <v>302.6194580108088</v>
      </c>
      <c r="AV113" s="2" t="n">
        <v>377.6473809518002</v>
      </c>
      <c r="AW113" s="2" t="n">
        <v>6.02547191887479e-05</v>
      </c>
      <c r="AX113" s="2" t="n">
        <v>869</v>
      </c>
      <c r="AY113" s="2" t="n">
        <v>9.86182271844882e-07</v>
      </c>
      <c r="AZ113" s="2" t="s">
        <v>131</v>
      </c>
      <c r="BA113" s="2" t="n">
        <v>4.48</v>
      </c>
      <c r="BB113" s="2" t="s">
        <v>132</v>
      </c>
      <c r="BC113" s="2" t="n">
        <v>4</v>
      </c>
      <c r="BD113" s="2" t="s">
        <v>133</v>
      </c>
      <c r="BE113" s="2" t="n">
        <v>3000</v>
      </c>
      <c r="BF113" s="2" t="s">
        <v>134</v>
      </c>
      <c r="BG113" s="2" t="n">
        <v>120</v>
      </c>
    </row>
    <row r="114" customFormat="false" ht="15" hidden="false" customHeight="false" outlineLevel="0" collapsed="false">
      <c r="A114" s="2" t="s">
        <v>246</v>
      </c>
      <c r="B114" s="2" t="s">
        <v>128</v>
      </c>
      <c r="C114" s="2" t="s">
        <v>129</v>
      </c>
      <c r="D114" s="2" t="s">
        <v>130</v>
      </c>
      <c r="E114" s="2" t="n">
        <v>1</v>
      </c>
      <c r="F114" s="2" t="n">
        <v>656.3288353018759</v>
      </c>
      <c r="G114" s="2" t="n">
        <v>296.3540637673613</v>
      </c>
      <c r="H114" s="2" t="n">
        <v>301.08724762328643</v>
      </c>
      <c r="I114" s="2" t="n">
        <v>4.034770102692552</v>
      </c>
      <c r="J114" s="2" t="n">
        <v>0.004396840465230032</v>
      </c>
      <c r="K114" s="2" t="n">
        <v>0.0003664033721025027</v>
      </c>
      <c r="L114" s="2" t="n">
        <v>27.244101573754833</v>
      </c>
      <c r="M114" s="2" t="n">
        <v>0.921701674820073</v>
      </c>
      <c r="N114" s="2" t="n">
        <v>1.0090896923678332</v>
      </c>
      <c r="O114" s="2" t="n">
        <v>5.198875</v>
      </c>
      <c r="P114" s="2" t="n">
        <v>4.791811794680208</v>
      </c>
      <c r="Q114" s="2" t="n">
        <v>28.056939</v>
      </c>
      <c r="R114" s="2" t="n">
        <v>23.83532298138883</v>
      </c>
      <c r="S114" s="2" t="n">
        <v>83.36100185477298</v>
      </c>
      <c r="T114" s="2" t="n">
        <v>90.44249797099044</v>
      </c>
      <c r="U114" s="2" t="n">
        <v>0.0008144522437324051</v>
      </c>
      <c r="V114" s="2" t="n">
        <v>17.3622608695689</v>
      </c>
      <c r="W114" s="2" t="n">
        <v>7.656879755185608e-05</v>
      </c>
      <c r="X114" s="2" t="n">
        <v>425.89637552923426</v>
      </c>
      <c r="Y114" s="2" t="n">
        <v>288.38828884219174</v>
      </c>
      <c r="Z114" s="2" t="n">
        <v>21.0321263902317</v>
      </c>
      <c r="AA114" s="2" t="n">
        <v>307.9614317527396</v>
      </c>
      <c r="AB114" s="2" t="n">
        <v>11.60736798537829</v>
      </c>
      <c r="AC114" s="2" t="n">
        <v>213.32941515723428</v>
      </c>
      <c r="AD114" s="2" t="n">
        <v>0.6155953563528933</v>
      </c>
      <c r="AE114" s="2" t="n">
        <v>309.43562276746474</v>
      </c>
      <c r="AF114" s="2" t="n">
        <v>312.4862192804392</v>
      </c>
      <c r="AG114" s="2" t="n">
        <v>301.66394958870546</v>
      </c>
      <c r="AH114" s="2" t="n">
        <v>10.822269691733709</v>
      </c>
      <c r="AI114" s="2" t="n">
        <v>2.546373298468192</v>
      </c>
      <c r="AJ114" s="2" t="n">
        <v>312.1730938882122</v>
      </c>
      <c r="AK114" s="2" t="n">
        <v>312.2946765498256</v>
      </c>
      <c r="AL114" s="2" t="n">
        <v>312.4226115924558</v>
      </c>
      <c r="AM114" s="2" t="n">
        <v>9171847048.567593</v>
      </c>
      <c r="AN114" s="2" t="n">
        <v>9168139988.242825</v>
      </c>
      <c r="AO114" s="2" t="n">
        <v>309.4668974488792</v>
      </c>
      <c r="AP114" s="2" t="n">
        <v>224.8732862794357</v>
      </c>
      <c r="AQ114" s="2" t="n">
        <v>1.357173521573547</v>
      </c>
      <c r="AR114" s="2" t="n">
        <v>8.985505170361199</v>
      </c>
      <c r="AS114" s="2" t="n">
        <v>1.2009962192494208</v>
      </c>
      <c r="AT114" s="2" t="n">
        <v>2.618879949608269</v>
      </c>
      <c r="AU114" s="2" t="n">
        <v>299.3719991050305</v>
      </c>
      <c r="AV114" s="2" t="n">
        <v>159.50677601368906</v>
      </c>
      <c r="AW114" s="2" t="n">
        <v>8.78667160220479e-05</v>
      </c>
      <c r="AX114" s="2" t="n">
        <v>250</v>
      </c>
      <c r="AY114" s="2" t="n">
        <v>9.564927836436254e-07</v>
      </c>
      <c r="AZ114" s="2" t="s">
        <v>131</v>
      </c>
      <c r="BA114" s="2" t="n">
        <v>4.48</v>
      </c>
      <c r="BB114" s="2" t="s">
        <v>132</v>
      </c>
      <c r="BC114" s="2" t="n">
        <v>4</v>
      </c>
      <c r="BD114" s="2" t="s">
        <v>133</v>
      </c>
      <c r="BE114" s="2" t="n">
        <v>3000</v>
      </c>
      <c r="BF114" s="2" t="s">
        <v>134</v>
      </c>
      <c r="BG114" s="2" t="n">
        <v>120</v>
      </c>
    </row>
    <row r="115" customFormat="false" ht="15" hidden="false" customHeight="false" outlineLevel="0" collapsed="false">
      <c r="A115" s="2" t="s">
        <v>247</v>
      </c>
      <c r="B115" s="2" t="s">
        <v>128</v>
      </c>
      <c r="C115" s="2" t="s">
        <v>129</v>
      </c>
      <c r="D115" s="2" t="s">
        <v>130</v>
      </c>
      <c r="E115" s="2" t="n">
        <v>1</v>
      </c>
      <c r="F115" s="2" t="n">
        <v>546.385655027363</v>
      </c>
      <c r="G115" s="2" t="n">
        <v>288.26974480816324</v>
      </c>
      <c r="H115" s="2" t="n">
        <v>303.99312280180527</v>
      </c>
      <c r="I115" s="2" t="n">
        <v>1.679393284605857</v>
      </c>
      <c r="J115" s="2" t="n">
        <v>0.004487108910831986</v>
      </c>
      <c r="K115" s="2" t="n">
        <v>0.0003739257425693322</v>
      </c>
      <c r="L115" s="2" t="n">
        <v>34.001141648218905</v>
      </c>
      <c r="M115" s="2" t="n">
        <v>0.4206930978683639</v>
      </c>
      <c r="N115" s="2" t="n">
        <v>1.987974838153841</v>
      </c>
      <c r="O115" s="2" t="n">
        <v>5.198875</v>
      </c>
      <c r="P115" s="2" t="n">
        <v>2.1871308291803904</v>
      </c>
      <c r="Q115" s="2" t="n">
        <v>28.056939</v>
      </c>
      <c r="R115" s="2" t="n">
        <v>4.965592329598487</v>
      </c>
      <c r="S115" s="2" t="n">
        <v>69.4271742671116</v>
      </c>
      <c r="T115" s="2" t="n">
        <v>165.0304571643711</v>
      </c>
      <c r="U115" s="2" t="n">
        <v>0.0009979871809186755</v>
      </c>
      <c r="V115" s="2" t="n">
        <v>84.6240786665353</v>
      </c>
      <c r="W115" s="2" t="n">
        <v>0.0003808600375682623</v>
      </c>
      <c r="X115" s="2" t="n">
        <v>354.553476246841</v>
      </c>
      <c r="Y115" s="2" t="n">
        <v>292.57331723686406</v>
      </c>
      <c r="Z115" s="2" t="n">
        <v>12.081694481502257</v>
      </c>
      <c r="AA115" s="2" t="n">
        <v>298.33785456173615</v>
      </c>
      <c r="AB115" s="2" t="n">
        <v>10.068109753572912</v>
      </c>
      <c r="AC115" s="2" t="n">
        <v>188.83862686025424</v>
      </c>
      <c r="AD115" s="2" t="n">
        <v>0.6545722992858337</v>
      </c>
      <c r="AE115" s="2" t="n">
        <v>299.48008262140706</v>
      </c>
      <c r="AF115" s="2" t="n">
        <v>301.971688665224</v>
      </c>
      <c r="AG115" s="2" t="n">
        <v>293.0639875386918</v>
      </c>
      <c r="AH115" s="2" t="n">
        <v>8.907701126532231</v>
      </c>
      <c r="AI115" s="2" t="n">
        <v>2.09418721127375</v>
      </c>
      <c r="AJ115" s="2" t="n">
        <v>301.72915959165346</v>
      </c>
      <c r="AK115" s="2" t="n">
        <v>301.82107838852545</v>
      </c>
      <c r="AL115" s="2" t="n">
        <v>301.92205616803506</v>
      </c>
      <c r="AM115" s="2" t="n">
        <v>8046344997.985277</v>
      </c>
      <c r="AN115" s="2" t="n">
        <v>8043994724.139351</v>
      </c>
      <c r="AO115" s="2" t="n">
        <v>299.50195555653784</v>
      </c>
      <c r="AP115" s="2" t="n">
        <v>187.20423545833205</v>
      </c>
      <c r="AQ115" s="2" t="n">
        <v>-0.12157086619227575</v>
      </c>
      <c r="AR115" s="2" t="n">
        <v>-0.8633704726193677</v>
      </c>
      <c r="AS115" s="2" t="n">
        <v>-0.649245404090244</v>
      </c>
      <c r="AT115" s="2" t="n">
        <v>0.6858875918412803</v>
      </c>
      <c r="AU115" s="2" t="n">
        <v>300.44704389436464</v>
      </c>
      <c r="AV115" s="2" t="n">
        <v>134.84508423462034</v>
      </c>
      <c r="AW115" s="2" t="n">
        <v>-0.00010774091428653928</v>
      </c>
      <c r="AX115" s="2" t="n">
        <v>217</v>
      </c>
      <c r="AY115" s="2" t="n">
        <v>9.869656310002028e-07</v>
      </c>
      <c r="AZ115" s="2" t="s">
        <v>131</v>
      </c>
      <c r="BA115" s="2" t="n">
        <v>4.48</v>
      </c>
      <c r="BB115" s="2" t="s">
        <v>132</v>
      </c>
      <c r="BC115" s="2" t="n">
        <v>4</v>
      </c>
      <c r="BD115" s="2" t="s">
        <v>133</v>
      </c>
      <c r="BE115" s="2" t="n">
        <v>3000</v>
      </c>
      <c r="BF115" s="2" t="s">
        <v>134</v>
      </c>
      <c r="BG115" s="2" t="n">
        <v>120</v>
      </c>
    </row>
    <row r="116" customFormat="false" ht="15" hidden="false" customHeight="false" outlineLevel="0" collapsed="false">
      <c r="A116" s="2" t="s">
        <v>248</v>
      </c>
      <c r="B116" s="2" t="s">
        <v>128</v>
      </c>
      <c r="C116" s="2" t="s">
        <v>129</v>
      </c>
      <c r="D116" s="2" t="s">
        <v>130</v>
      </c>
      <c r="E116" s="2" t="n">
        <v>1</v>
      </c>
      <c r="F116" s="2" t="n">
        <v>798.2994103141381</v>
      </c>
      <c r="G116" s="2" t="n">
        <v>324.58648454345416</v>
      </c>
      <c r="H116" s="2" t="n">
        <v>293.20174600575314</v>
      </c>
      <c r="I116" s="2" t="n">
        <v>0.7709888923291892</v>
      </c>
      <c r="J116" s="2" t="n">
        <v>0.0010352477143172156</v>
      </c>
      <c r="K116" s="2" t="n">
        <v>8.627064285976797e-05</v>
      </c>
      <c r="L116" s="2" t="n">
        <v>26.645068039467766</v>
      </c>
      <c r="M116" s="2" t="n">
        <v>0.6238173869895149</v>
      </c>
      <c r="N116" s="2" t="n">
        <v>1.9617901170751346</v>
      </c>
      <c r="O116" s="2" t="n">
        <v>5.198875</v>
      </c>
      <c r="P116" s="2" t="n">
        <v>3.2431486177851148</v>
      </c>
      <c r="Q116" s="2" t="n">
        <v>28.056939</v>
      </c>
      <c r="R116" s="2" t="n">
        <v>10.918305410197558</v>
      </c>
      <c r="S116" s="2" t="n">
        <v>40.23479222213627</v>
      </c>
      <c r="T116" s="2" t="n">
        <v>64.49770888289225</v>
      </c>
      <c r="U116" s="2" t="n">
        <v>0.0003973107893987618</v>
      </c>
      <c r="V116" s="2" t="n">
        <v>3.558439937589201</v>
      </c>
      <c r="W116" s="2" t="n">
        <v>3.694951666925091e-06</v>
      </c>
      <c r="X116" s="2" t="n">
        <v>518.0220754487164</v>
      </c>
      <c r="Y116" s="2" t="n">
        <v>277.13342302515963</v>
      </c>
      <c r="Z116" s="2" t="n">
        <v>8.629757790850919</v>
      </c>
      <c r="AA116" s="2" t="n">
        <v>362.657691936783</v>
      </c>
      <c r="AB116" s="2" t="n">
        <v>38.07120739332885</v>
      </c>
      <c r="AC116" s="2" t="n">
        <v>164.74688521930474</v>
      </c>
      <c r="AD116" s="2" t="n">
        <v>0.39085662837063845</v>
      </c>
      <c r="AE116" s="2" t="n">
        <v>387.84729953509856</v>
      </c>
      <c r="AF116" s="2" t="n">
        <v>405.3196978781933</v>
      </c>
      <c r="AG116" s="2" t="n">
        <v>345.5895207045027</v>
      </c>
      <c r="AH116" s="2" t="n">
        <v>59.730177173690606</v>
      </c>
      <c r="AI116" s="2" t="n">
        <v>15.683060853592924</v>
      </c>
      <c r="AJ116" s="2" t="n">
        <v>404.675005493181</v>
      </c>
      <c r="AK116" s="2" t="n">
        <v>405.01444891360933</v>
      </c>
      <c r="AL116" s="2" t="n">
        <v>405.2343488055525</v>
      </c>
      <c r="AM116" s="2" t="n">
        <v>22844824737.642708</v>
      </c>
      <c r="AN116" s="2" t="n">
        <v>22627839400.872234</v>
      </c>
      <c r="AO116" s="2" t="n">
        <v>388.77377144366983</v>
      </c>
      <c r="AP116" s="2" t="n">
        <v>273.51565583692224</v>
      </c>
      <c r="AQ116" s="2" t="n">
        <v>17.452862507638805</v>
      </c>
      <c r="AR116" s="2" t="n">
        <v>77.69999896075636</v>
      </c>
      <c r="AS116" s="2" t="n">
        <v>13.615697665045502</v>
      </c>
      <c r="AT116" s="2" t="n">
        <v>2.176557184370964</v>
      </c>
      <c r="AU116" s="2" t="n">
        <v>300.82452972001397</v>
      </c>
      <c r="AV116" s="2" t="n">
        <v>263.081288780241</v>
      </c>
      <c r="AW116" s="2" t="n">
        <v>7.75106887379367e-05</v>
      </c>
      <c r="AX116" s="2" t="n">
        <v>1541</v>
      </c>
      <c r="AY116" s="2" t="n">
        <v>9.927932183018129e-07</v>
      </c>
      <c r="AZ116" s="2" t="s">
        <v>131</v>
      </c>
      <c r="BA116" s="2" t="n">
        <v>4.48</v>
      </c>
      <c r="BB116" s="2" t="s">
        <v>132</v>
      </c>
      <c r="BC116" s="2" t="n">
        <v>4</v>
      </c>
      <c r="BD116" s="2" t="s">
        <v>133</v>
      </c>
      <c r="BE116" s="2" t="n">
        <v>3000</v>
      </c>
      <c r="BF116" s="2" t="s">
        <v>134</v>
      </c>
      <c r="BG116" s="2" t="n">
        <v>120</v>
      </c>
    </row>
    <row r="117" customFormat="false" ht="15" hidden="false" customHeight="false" outlineLevel="0" collapsed="false">
      <c r="A117" s="2" t="s">
        <v>249</v>
      </c>
      <c r="B117" s="2" t="s">
        <v>128</v>
      </c>
      <c r="C117" s="2" t="s">
        <v>129</v>
      </c>
      <c r="D117" s="2" t="s">
        <v>130</v>
      </c>
      <c r="E117" s="2" t="n">
        <v>1</v>
      </c>
      <c r="F117" s="2" t="n">
        <v>820.3977875911369</v>
      </c>
      <c r="G117" s="2" t="n">
        <v>304.99374429454565</v>
      </c>
      <c r="H117" s="2" t="n">
        <v>296.65541476362637</v>
      </c>
      <c r="I117" s="2" t="n">
        <v>2.1105470053374282</v>
      </c>
      <c r="J117" s="2" t="n">
        <v>0.003534725916168764</v>
      </c>
      <c r="K117" s="2" t="n">
        <v>0.0002945604930140637</v>
      </c>
      <c r="L117" s="2" t="n">
        <v>35.896441513363094</v>
      </c>
      <c r="M117" s="2" t="n">
        <v>0.5267399468171658</v>
      </c>
      <c r="N117" s="2" t="n">
        <v>1.8304706900035486</v>
      </c>
      <c r="O117" s="2" t="n">
        <v>5.198875</v>
      </c>
      <c r="P117" s="2" t="n">
        <v>2.7384551410090934</v>
      </c>
      <c r="Q117" s="2" t="n">
        <v>28.056939</v>
      </c>
      <c r="R117" s="2" t="n">
        <v>7.7845372126690116</v>
      </c>
      <c r="S117" s="2" t="n">
        <v>84.09798408310222</v>
      </c>
      <c r="T117" s="2" t="n">
        <v>159.65750194430015</v>
      </c>
      <c r="U117" s="2" t="n">
        <v>0.0006490198806330177</v>
      </c>
      <c r="V117" s="2" t="n">
        <v>28.349703843345033</v>
      </c>
      <c r="W117" s="2" t="n">
        <v>0.00010050996277911825</v>
      </c>
      <c r="X117" s="2" t="n">
        <v>532.3618671524018</v>
      </c>
      <c r="Y117" s="2" t="n">
        <v>282.0444105234577</v>
      </c>
      <c r="Z117" s="2" t="n">
        <v>13.720078620282226</v>
      </c>
      <c r="AA117" s="2" t="n">
        <v>321.68747293917806</v>
      </c>
      <c r="AB117" s="2" t="n">
        <v>16.693728644632415</v>
      </c>
      <c r="AC117" s="2" t="n">
        <v>246.652417060665</v>
      </c>
      <c r="AD117" s="2" t="n">
        <v>0.5694124683748834</v>
      </c>
      <c r="AE117" s="2" t="n">
        <v>325.2146891476529</v>
      </c>
      <c r="AF117" s="2" t="n">
        <v>330.3772557165897</v>
      </c>
      <c r="AG117" s="2" t="n">
        <v>312.670230832905</v>
      </c>
      <c r="AH117" s="2" t="n">
        <v>17.707024883684653</v>
      </c>
      <c r="AI117" s="2" t="n">
        <v>4.362573106229186</v>
      </c>
      <c r="AJ117" s="2" t="n">
        <v>329.92297467242673</v>
      </c>
      <c r="AK117" s="2" t="n">
        <v>330.1056306160265</v>
      </c>
      <c r="AL117" s="2" t="n">
        <v>330.28888652313145</v>
      </c>
      <c r="AM117" s="2" t="n">
        <v>11198134456.968641</v>
      </c>
      <c r="AN117" s="2" t="n">
        <v>11186149351.89698</v>
      </c>
      <c r="AO117" s="2" t="n">
        <v>325.301764847919</v>
      </c>
      <c r="AP117" s="2" t="n">
        <v>281.0870658564682</v>
      </c>
      <c r="AQ117" s="2" t="n">
        <v>4.200050914320473</v>
      </c>
      <c r="AR117" s="2" t="n">
        <v>26.125862604227795</v>
      </c>
      <c r="AS117" s="2" t="n">
        <v>4.108533692767911</v>
      </c>
      <c r="AT117" s="2" t="n">
        <v>2.2835712488310307</v>
      </c>
      <c r="AU117" s="2" t="n">
        <v>295.9541362771628</v>
      </c>
      <c r="AV117" s="2" t="n">
        <v>224.52089072217294</v>
      </c>
      <c r="AW117" s="2" t="n">
        <v>7.19039990581393e-05</v>
      </c>
      <c r="AX117" s="2" t="n">
        <v>389</v>
      </c>
      <c r="AY117" s="2" t="n">
        <v>9.683216717348841e-07</v>
      </c>
      <c r="AZ117" s="2" t="s">
        <v>131</v>
      </c>
      <c r="BA117" s="2" t="n">
        <v>4.48</v>
      </c>
      <c r="BB117" s="2" t="s">
        <v>132</v>
      </c>
      <c r="BC117" s="2" t="n">
        <v>4</v>
      </c>
      <c r="BD117" s="2" t="s">
        <v>133</v>
      </c>
      <c r="BE117" s="2" t="n">
        <v>3000</v>
      </c>
      <c r="BF117" s="2" t="s">
        <v>134</v>
      </c>
      <c r="BG117" s="2" t="n">
        <v>120</v>
      </c>
    </row>
    <row r="118" customFormat="false" ht="15" hidden="false" customHeight="false" outlineLevel="0" collapsed="false">
      <c r="A118" s="2" t="s">
        <v>250</v>
      </c>
      <c r="B118" s="2" t="s">
        <v>128</v>
      </c>
      <c r="C118" s="2" t="s">
        <v>129</v>
      </c>
      <c r="D118" s="2" t="s">
        <v>130</v>
      </c>
      <c r="E118" s="2" t="n">
        <v>1</v>
      </c>
      <c r="F118" s="2" t="n">
        <v>926.9084279233429</v>
      </c>
      <c r="G118" s="2" t="n">
        <v>330.96256115011613</v>
      </c>
      <c r="H118" s="2" t="n">
        <v>295.53544628804866</v>
      </c>
      <c r="I118" s="2" t="n">
        <v>0.4074848306730378</v>
      </c>
      <c r="J118" s="2" t="n">
        <v>0.0037186929138691414</v>
      </c>
      <c r="K118" s="2" t="n">
        <v>0.0003098910761557618</v>
      </c>
      <c r="L118" s="2" t="n">
        <v>25.53679671928863</v>
      </c>
      <c r="M118" s="2" t="n">
        <v>0.8183152282757173</v>
      </c>
      <c r="N118" s="2" t="n">
        <v>0.7098117770599105</v>
      </c>
      <c r="O118" s="2" t="n">
        <v>5.198875</v>
      </c>
      <c r="P118" s="2" t="n">
        <v>4.25431858240192</v>
      </c>
      <c r="Q118" s="2" t="n">
        <v>28.056939</v>
      </c>
      <c r="R118" s="2" t="n">
        <v>18.78804338048491</v>
      </c>
      <c r="S118" s="2" t="n">
        <v>135.52055143159288</v>
      </c>
      <c r="T118" s="2" t="n">
        <v>165.6092258201647</v>
      </c>
      <c r="U118" s="2" t="n">
        <v>0.0004237141793227125</v>
      </c>
      <c r="V118" s="2" t="n">
        <v>10.451658717672235</v>
      </c>
      <c r="W118" s="2" t="n">
        <v>3.8983459590357446e-05</v>
      </c>
      <c r="X118" s="2" t="n">
        <v>601.4773672384525</v>
      </c>
      <c r="Y118" s="2" t="n">
        <v>280.4487080318603</v>
      </c>
      <c r="Z118" s="2" t="n">
        <v>7.248442356557543</v>
      </c>
      <c r="AA118" s="2" t="n">
        <v>347.3145948662083</v>
      </c>
      <c r="AB118" s="2" t="n">
        <v>16.352033716092194</v>
      </c>
      <c r="AC118" s="2" t="n">
        <v>254.17824217285397</v>
      </c>
      <c r="AD118" s="2" t="n">
        <v>0.5193589479081185</v>
      </c>
      <c r="AE118" s="2" t="n">
        <v>350.66968090824395</v>
      </c>
      <c r="AF118" s="2" t="n">
        <v>355.8150584530463</v>
      </c>
      <c r="AG118" s="2" t="n">
        <v>338.01038738117654</v>
      </c>
      <c r="AH118" s="2" t="n">
        <v>17.804671071869734</v>
      </c>
      <c r="AI118" s="2" t="n">
        <v>4.306758139284621</v>
      </c>
      <c r="AJ118" s="2" t="n">
        <v>355.30927715319046</v>
      </c>
      <c r="AK118" s="2" t="n">
        <v>355.51543070491715</v>
      </c>
      <c r="AL118" s="2" t="n">
        <v>355.7175266302294</v>
      </c>
      <c r="AM118" s="2" t="n">
        <v>15135016378.204332</v>
      </c>
      <c r="AN118" s="2" t="n">
        <v>15121430323.733208</v>
      </c>
      <c r="AO118" s="2" t="n">
        <v>350.7484203685092</v>
      </c>
      <c r="AP118" s="2" t="n">
        <v>317.58004990190295</v>
      </c>
      <c r="AQ118" s="2" t="n">
        <v>8.610134680602648</v>
      </c>
      <c r="AR118" s="2" t="n">
        <v>46.859857666338776</v>
      </c>
      <c r="AS118" s="2" t="n">
        <v>7.931604196804726</v>
      </c>
      <c r="AT118" s="2" t="n">
        <v>2.1779422917940114</v>
      </c>
      <c r="AU118" s="2" t="n">
        <v>298.18738152848425</v>
      </c>
      <c r="AV118" s="2" t="n">
        <v>229.58807380594735</v>
      </c>
      <c r="AW118" s="2" t="n">
        <v>6.707348751998158e-05</v>
      </c>
      <c r="AX118" s="2" t="n">
        <v>380</v>
      </c>
      <c r="AY118" s="2" t="n">
        <v>9.927271662490966e-07</v>
      </c>
      <c r="AZ118" s="2" t="s">
        <v>131</v>
      </c>
      <c r="BA118" s="2" t="n">
        <v>4.48</v>
      </c>
      <c r="BB118" s="2" t="s">
        <v>132</v>
      </c>
      <c r="BC118" s="2" t="n">
        <v>4</v>
      </c>
      <c r="BD118" s="2" t="s">
        <v>133</v>
      </c>
      <c r="BE118" s="2" t="n">
        <v>3000</v>
      </c>
      <c r="BF118" s="2" t="s">
        <v>134</v>
      </c>
      <c r="BG118" s="2" t="n">
        <v>120</v>
      </c>
    </row>
    <row r="119" customFormat="false" ht="15" hidden="false" customHeight="false" outlineLevel="0" collapsed="false">
      <c r="A119" s="2" t="s">
        <v>251</v>
      </c>
      <c r="B119" s="2" t="s">
        <v>128</v>
      </c>
      <c r="C119" s="2" t="s">
        <v>129</v>
      </c>
      <c r="D119" s="2" t="s">
        <v>130</v>
      </c>
      <c r="E119" s="2" t="n">
        <v>1</v>
      </c>
      <c r="F119" s="2" t="n">
        <v>998.9176257812499</v>
      </c>
      <c r="G119" s="2" t="n">
        <v>296.8310898993229</v>
      </c>
      <c r="H119" s="2" t="n">
        <v>307.16895772303246</v>
      </c>
      <c r="I119" s="2" t="n">
        <v>3.6250340604616267</v>
      </c>
      <c r="J119" s="2" t="n">
        <v>0.0041400787180890745</v>
      </c>
      <c r="K119" s="2" t="n">
        <v>0.0003450065598407562</v>
      </c>
      <c r="L119" s="2" t="n">
        <v>31.1220898225412</v>
      </c>
      <c r="M119" s="2" t="n">
        <v>0.9483121375034237</v>
      </c>
      <c r="N119" s="2" t="n">
        <v>1.2095141920516117</v>
      </c>
      <c r="O119" s="2" t="n">
        <v>5.198875</v>
      </c>
      <c r="P119" s="2" t="n">
        <v>4.930156263863113</v>
      </c>
      <c r="Q119" s="2" t="n">
        <v>28.056939</v>
      </c>
      <c r="R119" s="2" t="n">
        <v>25.231490493644007</v>
      </c>
      <c r="S119" s="2" t="n">
        <v>85.67871744965922</v>
      </c>
      <c r="T119" s="2" t="n">
        <v>90.34864583218506</v>
      </c>
      <c r="U119" s="2" t="n">
        <v>0.0007461454302232264</v>
      </c>
      <c r="V119" s="2" t="n">
        <v>14.000975918359906</v>
      </c>
      <c r="W119" s="2" t="n">
        <v>5.813956111542576e-05</v>
      </c>
      <c r="X119" s="2" t="n">
        <v>648.2046397928334</v>
      </c>
      <c r="Y119" s="2" t="n">
        <v>297.1700681447704</v>
      </c>
      <c r="Z119" s="2" t="n">
        <v>19.47512942975418</v>
      </c>
      <c r="AA119" s="2" t="n">
        <v>315.7615207425633</v>
      </c>
      <c r="AB119" s="2" t="n">
        <v>18.9304308432404</v>
      </c>
      <c r="AC119" s="2" t="n">
        <v>327.6011207279306</v>
      </c>
      <c r="AD119" s="2" t="n">
        <v>0.621128962020333</v>
      </c>
      <c r="AE119" s="2" t="n">
        <v>318.49548547930453</v>
      </c>
      <c r="AF119" s="2" t="n">
        <v>323.6606716174267</v>
      </c>
      <c r="AG119" s="2" t="n">
        <v>305.45862325726085</v>
      </c>
      <c r="AH119" s="2" t="n">
        <v>18.20204836016586</v>
      </c>
      <c r="AI119" s="2" t="n">
        <v>4.315940755016938</v>
      </c>
      <c r="AJ119" s="2" t="n">
        <v>323.14404753195834</v>
      </c>
      <c r="AK119" s="2" t="n">
        <v>323.34828562838874</v>
      </c>
      <c r="AL119" s="2" t="n">
        <v>323.5596629507704</v>
      </c>
      <c r="AM119" s="2" t="n">
        <v>10301201154.89432</v>
      </c>
      <c r="AN119" s="2" t="n">
        <v>10289946652.430723</v>
      </c>
      <c r="AO119" s="2" t="n">
        <v>318.58253741194306</v>
      </c>
      <c r="AP119" s="2" t="n">
        <v>342.25204981061603</v>
      </c>
      <c r="AQ119" s="2" t="n">
        <v>1.8315027730653448</v>
      </c>
      <c r="AR119" s="2" t="n">
        <v>11.1897947343984</v>
      </c>
      <c r="AS119" s="2" t="n">
        <v>1.629432886948359</v>
      </c>
      <c r="AT119" s="2" t="n">
        <v>2.4498215467794013</v>
      </c>
      <c r="AU119" s="2" t="n">
        <v>305.96309237153343</v>
      </c>
      <c r="AV119" s="2" t="n">
        <v>256.7980822666145</v>
      </c>
      <c r="AW119" s="2" t="n">
        <v>5.8698502128154424e-05</v>
      </c>
      <c r="AX119" s="2" t="n">
        <v>318</v>
      </c>
      <c r="AY119" s="2" t="n">
        <v>9.606035860088014e-07</v>
      </c>
      <c r="AZ119" s="2" t="s">
        <v>131</v>
      </c>
      <c r="BA119" s="2" t="n">
        <v>4.48</v>
      </c>
      <c r="BB119" s="2" t="s">
        <v>132</v>
      </c>
      <c r="BC119" s="2" t="n">
        <v>4</v>
      </c>
      <c r="BD119" s="2" t="s">
        <v>133</v>
      </c>
      <c r="BE119" s="2" t="n">
        <v>3000</v>
      </c>
      <c r="BF119" s="2" t="s">
        <v>134</v>
      </c>
      <c r="BG119" s="2" t="n">
        <v>120</v>
      </c>
    </row>
    <row r="120" customFormat="false" ht="15" hidden="false" customHeight="false" outlineLevel="0" collapsed="false">
      <c r="A120" s="2" t="s">
        <v>252</v>
      </c>
      <c r="B120" s="2" t="s">
        <v>128</v>
      </c>
      <c r="C120" s="2" t="s">
        <v>129</v>
      </c>
      <c r="D120" s="2" t="s">
        <v>130</v>
      </c>
      <c r="E120" s="2" t="n">
        <v>1</v>
      </c>
      <c r="F120" s="2" t="n">
        <v>462.62582989594335</v>
      </c>
      <c r="G120" s="2" t="n">
        <v>303.5960643373923</v>
      </c>
      <c r="H120" s="2" t="n">
        <v>311.8556773182949</v>
      </c>
      <c r="I120" s="2" t="n">
        <v>1.949591204220835</v>
      </c>
      <c r="J120" s="2" t="n">
        <v>0.0036238781016049676</v>
      </c>
      <c r="K120" s="2" t="n">
        <v>0.00030198984180041395</v>
      </c>
      <c r="L120" s="2" t="n">
        <v>30.278033631351096</v>
      </c>
      <c r="M120" s="2" t="n">
        <v>0.37594717048015713</v>
      </c>
      <c r="N120" s="2" t="n">
        <v>1.38917464055387</v>
      </c>
      <c r="O120" s="2" t="n">
        <v>5.198875</v>
      </c>
      <c r="P120" s="2" t="n">
        <v>1.954502345930027</v>
      </c>
      <c r="Q120" s="2" t="n">
        <v>28.056939</v>
      </c>
      <c r="R120" s="2" t="n">
        <v>3.9654632459387886</v>
      </c>
      <c r="S120" s="2" t="n">
        <v>78.62481777315169</v>
      </c>
      <c r="T120" s="2" t="n">
        <v>209.13794263362223</v>
      </c>
      <c r="U120" s="2" t="n">
        <v>0.0007117078733593295</v>
      </c>
      <c r="V120" s="2" t="n">
        <v>80.54144229172704</v>
      </c>
      <c r="W120" s="2" t="n">
        <v>0.00029275062085523554</v>
      </c>
      <c r="X120" s="2" t="n">
        <v>300.2011394002869</v>
      </c>
      <c r="Y120" s="2" t="n">
        <v>303.9971834629651</v>
      </c>
      <c r="Z120" s="2" t="n">
        <v>13.108446576039173</v>
      </c>
      <c r="AA120" s="2" t="n">
        <v>313.6422233404127</v>
      </c>
      <c r="AB120" s="2" t="n">
        <v>10.04615900302042</v>
      </c>
      <c r="AC120" s="2" t="n">
        <v>152.1773124760809</v>
      </c>
      <c r="AD120" s="2" t="n">
        <v>0.6229972222413553</v>
      </c>
      <c r="AE120" s="2" t="n">
        <v>315.6019537395137</v>
      </c>
      <c r="AF120" s="2" t="n">
        <v>318.6377776008702</v>
      </c>
      <c r="AG120" s="2" t="n">
        <v>308.1086134005261</v>
      </c>
      <c r="AH120" s="2" t="n">
        <v>10.529164200344098</v>
      </c>
      <c r="AI120" s="2" t="n">
        <v>2.557668413901874</v>
      </c>
      <c r="AJ120" s="2" t="n">
        <v>318.3517707020138</v>
      </c>
      <c r="AK120" s="2" t="n">
        <v>318.46849832980064</v>
      </c>
      <c r="AL120" s="2" t="n">
        <v>318.58366507484595</v>
      </c>
      <c r="AM120" s="2" t="n">
        <v>9924963905.156984</v>
      </c>
      <c r="AN120" s="2" t="n">
        <v>9921074987.373796</v>
      </c>
      <c r="AO120" s="2" t="n">
        <v>315.6328770436747</v>
      </c>
      <c r="AP120" s="2" t="n">
        <v>158.50620160335149</v>
      </c>
      <c r="AQ120" s="2" t="n">
        <v>0.8169105374552333</v>
      </c>
      <c r="AR120" s="2" t="n">
        <v>4.972842492911284</v>
      </c>
      <c r="AS120" s="2" t="n">
        <v>0.5389388642033613</v>
      </c>
      <c r="AT120" s="2" t="n">
        <v>3.199585692641657</v>
      </c>
      <c r="AU120" s="2" t="n">
        <v>310.0324488054678</v>
      </c>
      <c r="AV120" s="2" t="n">
        <v>133.83849732298003</v>
      </c>
      <c r="AW120" s="2" t="n">
        <v>0.00012667105449109877</v>
      </c>
      <c r="AX120" s="2" t="n">
        <v>286</v>
      </c>
      <c r="AY120" s="2" t="n">
        <v>9.760970556271786e-07</v>
      </c>
      <c r="AZ120" s="2" t="s">
        <v>131</v>
      </c>
      <c r="BA120" s="2" t="n">
        <v>4.48</v>
      </c>
      <c r="BB120" s="2" t="s">
        <v>132</v>
      </c>
      <c r="BC120" s="2" t="n">
        <v>4</v>
      </c>
      <c r="BD120" s="2" t="s">
        <v>133</v>
      </c>
      <c r="BE120" s="2" t="n">
        <v>3000</v>
      </c>
      <c r="BF120" s="2" t="s">
        <v>134</v>
      </c>
      <c r="BG120" s="2" t="n">
        <v>120</v>
      </c>
    </row>
    <row r="121" customFormat="false" ht="15" hidden="false" customHeight="false" outlineLevel="0" collapsed="false">
      <c r="A121" s="2" t="s">
        <v>253</v>
      </c>
      <c r="B121" s="2" t="s">
        <v>128</v>
      </c>
      <c r="C121" s="2" t="s">
        <v>129</v>
      </c>
      <c r="D121" s="2" t="s">
        <v>130</v>
      </c>
      <c r="E121" s="2" t="n">
        <v>1</v>
      </c>
      <c r="F121" s="2" t="n">
        <v>697.6727486673167</v>
      </c>
      <c r="G121" s="2" t="n">
        <v>299.3149137185423</v>
      </c>
      <c r="H121" s="2" t="n">
        <v>311.0549585238321</v>
      </c>
      <c r="I121" s="2" t="n">
        <v>3.375888758008813</v>
      </c>
      <c r="J121" s="2" t="n">
        <v>0.0011374971698802415</v>
      </c>
      <c r="K121" s="2" t="n">
        <v>9.479143082335345e-05</v>
      </c>
      <c r="L121" s="2" t="n">
        <v>31.026841181107756</v>
      </c>
      <c r="M121" s="2" t="n">
        <v>0.8745166423487433</v>
      </c>
      <c r="N121" s="2" t="n">
        <v>1.1390358739029218</v>
      </c>
      <c r="O121" s="2" t="n">
        <v>5.198875</v>
      </c>
      <c r="P121" s="2" t="n">
        <v>4.546502708990823</v>
      </c>
      <c r="Q121" s="2" t="n">
        <v>28.056939</v>
      </c>
      <c r="R121" s="2" t="n">
        <v>21.457367788708385</v>
      </c>
      <c r="S121" s="2" t="n">
        <v>29.657280291022452</v>
      </c>
      <c r="T121" s="2" t="n">
        <v>33.912768328079004</v>
      </c>
      <c r="U121" s="2" t="n">
        <v>0.0005922524208959872</v>
      </c>
      <c r="V121" s="2" t="n">
        <v>3.5839622782933462</v>
      </c>
      <c r="W121" s="2" t="n">
        <v>4.089013990487687e-06</v>
      </c>
      <c r="X121" s="2" t="n">
        <v>452.72473031946237</v>
      </c>
      <c r="Y121" s="2" t="n">
        <v>302.82712326930675</v>
      </c>
      <c r="Z121" s="2" t="n">
        <v>18.52837728043349</v>
      </c>
      <c r="AA121" s="2" t="n">
        <v>337.1185474201547</v>
      </c>
      <c r="AB121" s="2" t="n">
        <v>37.8036337016124</v>
      </c>
      <c r="AC121" s="2" t="n">
        <v>179.74638012951294</v>
      </c>
      <c r="AD121" s="2" t="n">
        <v>0.4879490432951139</v>
      </c>
      <c r="AE121" s="2" t="n">
        <v>361.29293516123806</v>
      </c>
      <c r="AF121" s="2" t="n">
        <v>378.73160780320666</v>
      </c>
      <c r="AG121" s="2" t="n">
        <v>319.7390878856626</v>
      </c>
      <c r="AH121" s="2" t="n">
        <v>58.99251991754403</v>
      </c>
      <c r="AI121" s="2" t="n">
        <v>15.543906426173923</v>
      </c>
      <c r="AJ121" s="2" t="n">
        <v>378.0339020413577</v>
      </c>
      <c r="AK121" s="2" t="n">
        <v>378.39235565182247</v>
      </c>
      <c r="AL121" s="2" t="n">
        <v>378.6313955688411</v>
      </c>
      <c r="AM121" s="2" t="n">
        <v>17223588215.322765</v>
      </c>
      <c r="AN121" s="2" t="n">
        <v>17038755746.109348</v>
      </c>
      <c r="AO121" s="2" t="n">
        <v>362.2687799170481</v>
      </c>
      <c r="AP121" s="2" t="n">
        <v>239.03865760867615</v>
      </c>
      <c r="AQ121" s="2" t="n">
        <v>9.062607112162597</v>
      </c>
      <c r="AR121" s="2" t="n">
        <v>43.00223358350003</v>
      </c>
      <c r="AS121" s="2" t="n">
        <v>7.227229126896618</v>
      </c>
      <c r="AT121" s="2" t="n">
        <v>2.2352807097441874</v>
      </c>
      <c r="AU121" s="2" t="n">
        <v>313.1311137362279</v>
      </c>
      <c r="AV121" s="2" t="n">
        <v>282.87548769669473</v>
      </c>
      <c r="AW121" s="2" t="n">
        <v>8.737153989738829e-05</v>
      </c>
      <c r="AX121" s="2" t="n">
        <v>1430</v>
      </c>
      <c r="AY121" s="2" t="n">
        <v>9.907579396895017e-07</v>
      </c>
      <c r="AZ121" s="2" t="s">
        <v>131</v>
      </c>
      <c r="BA121" s="2" t="n">
        <v>4.48</v>
      </c>
      <c r="BB121" s="2" t="s">
        <v>132</v>
      </c>
      <c r="BC121" s="2" t="n">
        <v>4</v>
      </c>
      <c r="BD121" s="2" t="s">
        <v>133</v>
      </c>
      <c r="BE121" s="2" t="n">
        <v>3000</v>
      </c>
      <c r="BF121" s="2" t="s">
        <v>134</v>
      </c>
      <c r="BG121" s="2" t="n">
        <v>120</v>
      </c>
    </row>
    <row r="122" customFormat="false" ht="15" hidden="false" customHeight="false" outlineLevel="0" collapsed="false">
      <c r="A122" s="2" t="s">
        <v>254</v>
      </c>
      <c r="B122" s="2" t="s">
        <v>128</v>
      </c>
      <c r="C122" s="2" t="s">
        <v>129</v>
      </c>
      <c r="D122" s="2" t="s">
        <v>130</v>
      </c>
      <c r="E122" s="2" t="n">
        <v>1</v>
      </c>
      <c r="F122" s="2" t="n">
        <v>538.1740661057468</v>
      </c>
      <c r="G122" s="2" t="n">
        <v>327.77228840410015</v>
      </c>
      <c r="H122" s="2" t="n">
        <v>291.92996825938684</v>
      </c>
      <c r="I122" s="2" t="n">
        <v>1.5418814112848336</v>
      </c>
      <c r="J122" s="2" t="n">
        <v>0.0013769774666337867</v>
      </c>
      <c r="K122" s="2" t="n">
        <v>0.00011474812221948222</v>
      </c>
      <c r="L122" s="2" t="n">
        <v>20.658488056125016</v>
      </c>
      <c r="M122" s="2" t="n">
        <v>0.8876670025988689</v>
      </c>
      <c r="N122" s="2" t="n">
        <v>0.872528641505915</v>
      </c>
      <c r="O122" s="2" t="n">
        <v>5.198875</v>
      </c>
      <c r="P122" s="2" t="n">
        <v>4.614869788136195</v>
      </c>
      <c r="Q122" s="2" t="n">
        <v>28.056939</v>
      </c>
      <c r="R122" s="2" t="n">
        <v>22.107541049292593</v>
      </c>
      <c r="S122" s="2" t="n">
        <v>48.77233400696606</v>
      </c>
      <c r="T122" s="2" t="n">
        <v>54.944403547921425</v>
      </c>
      <c r="U122" s="2" t="n">
        <v>0.00043595447059339396</v>
      </c>
      <c r="V122" s="2" t="n">
        <v>3.1977273714059566</v>
      </c>
      <c r="W122" s="2" t="n">
        <v>4.416447878499591e-06</v>
      </c>
      <c r="X122" s="2" t="n">
        <v>349.2249187144818</v>
      </c>
      <c r="Y122" s="2" t="n">
        <v>275.3322588776184</v>
      </c>
      <c r="Z122" s="2" t="n">
        <v>11.559149362882367</v>
      </c>
      <c r="AA122" s="2" t="n">
        <v>346.5220700780518</v>
      </c>
      <c r="AB122" s="2" t="n">
        <v>18.749781673951645</v>
      </c>
      <c r="AC122" s="2" t="n">
        <v>107.91935231381835</v>
      </c>
      <c r="AD122" s="2" t="n">
        <v>0.37978922729324455</v>
      </c>
      <c r="AE122" s="2" t="n">
        <v>358.09988747848723</v>
      </c>
      <c r="AF122" s="2" t="n">
        <v>367.01207052853675</v>
      </c>
      <c r="AG122" s="2" t="n">
        <v>336.9967525064557</v>
      </c>
      <c r="AH122" s="2" t="n">
        <v>30.015318022081033</v>
      </c>
      <c r="AI122" s="2" t="n">
        <v>7.856156307219442</v>
      </c>
      <c r="AJ122" s="2" t="n">
        <v>366.5678322369887</v>
      </c>
      <c r="AK122" s="2" t="n">
        <v>366.7587771478302</v>
      </c>
      <c r="AL122" s="2" t="n">
        <v>366.9368897509973</v>
      </c>
      <c r="AM122" s="2" t="n">
        <v>16491142465.888695</v>
      </c>
      <c r="AN122" s="2" t="n">
        <v>16444351003.602901</v>
      </c>
      <c r="AO122" s="2" t="n">
        <v>358.35435431083005</v>
      </c>
      <c r="AP122" s="2" t="n">
        <v>184.39075708124642</v>
      </c>
      <c r="AQ122" s="2" t="n">
        <v>10.620247207032923</v>
      </c>
      <c r="AR122" s="2" t="n">
        <v>56.33175570669024</v>
      </c>
      <c r="AS122" s="2" t="n">
        <v>9.519196422982601</v>
      </c>
      <c r="AT122" s="2" t="n">
        <v>2.188792244393581</v>
      </c>
      <c r="AU122" s="2" t="n">
        <v>295.009212115431</v>
      </c>
      <c r="AV122" s="2" t="n">
        <v>167.866716702223</v>
      </c>
      <c r="AW122" s="2" t="n">
        <v>0.00011227143420998924</v>
      </c>
      <c r="AX122" s="2" t="n">
        <v>1164</v>
      </c>
      <c r="AY122" s="2" t="n">
        <v>9.92527702692314e-07</v>
      </c>
      <c r="AZ122" s="2" t="s">
        <v>131</v>
      </c>
      <c r="BA122" s="2" t="n">
        <v>4.48</v>
      </c>
      <c r="BB122" s="2" t="s">
        <v>132</v>
      </c>
      <c r="BC122" s="2" t="n">
        <v>4</v>
      </c>
      <c r="BD122" s="2" t="s">
        <v>133</v>
      </c>
      <c r="BE122" s="2" t="n">
        <v>3000</v>
      </c>
      <c r="BF122" s="2" t="s">
        <v>134</v>
      </c>
      <c r="BG122" s="2" t="n">
        <v>120</v>
      </c>
    </row>
    <row r="123" customFormat="false" ht="15" hidden="false" customHeight="false" outlineLevel="0" collapsed="false">
      <c r="A123" s="2" t="s">
        <v>255</v>
      </c>
      <c r="B123" s="2" t="s">
        <v>128</v>
      </c>
      <c r="C123" s="2" t="s">
        <v>129</v>
      </c>
      <c r="D123" s="2" t="s">
        <v>130</v>
      </c>
      <c r="E123" s="2" t="n">
        <v>1</v>
      </c>
      <c r="F123" s="2" t="n">
        <v>553.3646629963365</v>
      </c>
      <c r="G123" s="2" t="n">
        <v>298.36121755614164</v>
      </c>
      <c r="H123" s="2" t="n">
        <v>312.8319080192398</v>
      </c>
      <c r="I123" s="2" t="n">
        <v>1.4379459409532733</v>
      </c>
      <c r="J123" s="2" t="n">
        <v>0.003493041672257852</v>
      </c>
      <c r="K123" s="2" t="n">
        <v>0.00029108680602148764</v>
      </c>
      <c r="L123" s="2" t="n">
        <v>35.56553147598944</v>
      </c>
      <c r="M123" s="2" t="n">
        <v>0.5299127333574625</v>
      </c>
      <c r="N123" s="2" t="n">
        <v>1.0693598196642116</v>
      </c>
      <c r="O123" s="2" t="n">
        <v>5.198875</v>
      </c>
      <c r="P123" s="2" t="n">
        <v>2.754950061633778</v>
      </c>
      <c r="Q123" s="2" t="n">
        <v>28.056939</v>
      </c>
      <c r="R123" s="2" t="n">
        <v>7.878599037808295</v>
      </c>
      <c r="S123" s="2" t="n">
        <v>69.97994976950989</v>
      </c>
      <c r="T123" s="2" t="n">
        <v>132.05938518617103</v>
      </c>
      <c r="U123" s="2" t="n">
        <v>0.0007707578949869224</v>
      </c>
      <c r="V123" s="2" t="n">
        <v>43.41008695962653</v>
      </c>
      <c r="W123" s="2" t="n">
        <v>0.0001520895112801531</v>
      </c>
      <c r="X123" s="2" t="n">
        <v>359.0822033709637</v>
      </c>
      <c r="Y123" s="2" t="n">
        <v>305.4257457922826</v>
      </c>
      <c r="Z123" s="2" t="n">
        <v>11.164194575622439</v>
      </c>
      <c r="AA123" s="2" t="n">
        <v>311.1142066593336</v>
      </c>
      <c r="AB123" s="2" t="n">
        <v>12.752989103191965</v>
      </c>
      <c r="AC123" s="2" t="n">
        <v>186.20529956219323</v>
      </c>
      <c r="AD123" s="2" t="n">
        <v>0.6373040705048749</v>
      </c>
      <c r="AE123" s="2" t="n">
        <v>313.77969669658665</v>
      </c>
      <c r="AF123" s="2" t="n">
        <v>317.69647676529405</v>
      </c>
      <c r="AG123" s="2" t="n">
        <v>304.2565905712015</v>
      </c>
      <c r="AH123" s="2" t="n">
        <v>13.439886194092537</v>
      </c>
      <c r="AI123" s="2" t="n">
        <v>3.3119992273329744</v>
      </c>
      <c r="AJ123" s="2" t="n">
        <v>317.3531706074537</v>
      </c>
      <c r="AK123" s="2" t="n">
        <v>317.49199561093576</v>
      </c>
      <c r="AL123" s="2" t="n">
        <v>317.6307103326158</v>
      </c>
      <c r="AM123" s="2" t="n">
        <v>9700356928.611906</v>
      </c>
      <c r="AN123" s="2" t="n">
        <v>9693918307.077589</v>
      </c>
      <c r="AO123" s="2" t="n">
        <v>313.8317862036584</v>
      </c>
      <c r="AP123" s="2" t="n">
        <v>189.59540337986886</v>
      </c>
      <c r="AQ123" s="2" t="n">
        <v>0.4610903918170493</v>
      </c>
      <c r="AR123" s="2" t="n">
        <v>2.792463443383546</v>
      </c>
      <c r="AS123" s="2" t="n">
        <v>0.13634876230193868</v>
      </c>
      <c r="AT123" s="2" t="n">
        <v>6.774348885253111</v>
      </c>
      <c r="AU123" s="2" t="n">
        <v>310.65218180983175</v>
      </c>
      <c r="AV123" s="2" t="n">
        <v>168.61824238572186</v>
      </c>
      <c r="AW123" s="2" t="n">
        <v>0.00010612578814333047</v>
      </c>
      <c r="AX123" s="2" t="n">
        <v>361</v>
      </c>
      <c r="AY123" s="2" t="n">
        <v>9.837714856075763e-07</v>
      </c>
      <c r="AZ123" s="2" t="s">
        <v>131</v>
      </c>
      <c r="BA123" s="2" t="n">
        <v>4.48</v>
      </c>
      <c r="BB123" s="2" t="s">
        <v>132</v>
      </c>
      <c r="BC123" s="2" t="n">
        <v>4</v>
      </c>
      <c r="BD123" s="2" t="s">
        <v>133</v>
      </c>
      <c r="BE123" s="2" t="n">
        <v>3000</v>
      </c>
      <c r="BF123" s="2" t="s">
        <v>134</v>
      </c>
      <c r="BG123" s="2" t="n">
        <v>120</v>
      </c>
    </row>
    <row r="124" customFormat="false" ht="15" hidden="false" customHeight="false" outlineLevel="0" collapsed="false">
      <c r="A124" s="2" t="s">
        <v>256</v>
      </c>
      <c r="B124" s="2" t="s">
        <v>128</v>
      </c>
      <c r="C124" s="2" t="s">
        <v>129</v>
      </c>
      <c r="D124" s="2" t="s">
        <v>130</v>
      </c>
      <c r="E124" s="2" t="n">
        <v>1</v>
      </c>
      <c r="F124" s="2" t="n">
        <v>764.4003052189355</v>
      </c>
      <c r="G124" s="2" t="n">
        <v>318.0538907868739</v>
      </c>
      <c r="H124" s="2" t="n">
        <v>308.58086155248674</v>
      </c>
      <c r="I124" s="2" t="n">
        <v>2.904577632808949</v>
      </c>
      <c r="J124" s="2" t="n">
        <v>0.0017001527562989557</v>
      </c>
      <c r="K124" s="2" t="n">
        <v>0.0001416793963582463</v>
      </c>
      <c r="L124" s="2" t="n">
        <v>29.90937504750812</v>
      </c>
      <c r="M124" s="2" t="n">
        <v>0.4127477028105749</v>
      </c>
      <c r="N124" s="2" t="n">
        <v>0.7252653026004119</v>
      </c>
      <c r="O124" s="2" t="n">
        <v>5.198875</v>
      </c>
      <c r="P124" s="2" t="n">
        <v>2.145823713449327</v>
      </c>
      <c r="Q124" s="2" t="n">
        <v>28.056939</v>
      </c>
      <c r="R124" s="2" t="n">
        <v>4.779798818882747</v>
      </c>
      <c r="S124" s="2" t="n">
        <v>55.826726182824444</v>
      </c>
      <c r="T124" s="2" t="n">
        <v>135.25629773994257</v>
      </c>
      <c r="U124" s="2" t="n">
        <v>0.0004702552198363279</v>
      </c>
      <c r="V124" s="2" t="n">
        <v>30.200827711582555</v>
      </c>
      <c r="W124" s="2" t="n">
        <v>5.1500522042484414e-05</v>
      </c>
      <c r="X124" s="2" t="n">
        <v>496.0247088587037</v>
      </c>
      <c r="Y124" s="2" t="n">
        <v>299.2213366239117</v>
      </c>
      <c r="Z124" s="2" t="n">
        <v>16.737395004674006</v>
      </c>
      <c r="AA124" s="2" t="n">
        <v>346.17254156058874</v>
      </c>
      <c r="AB124" s="2" t="n">
        <v>28.11865077371482</v>
      </c>
      <c r="AC124" s="2" t="n">
        <v>199.82908675629707</v>
      </c>
      <c r="AD124" s="2" t="n">
        <v>0.49511254362239715</v>
      </c>
      <c r="AE124" s="2" t="n">
        <v>361.395398911331</v>
      </c>
      <c r="AF124" s="2" t="n">
        <v>374.1285314020994</v>
      </c>
      <c r="AG124" s="2" t="n">
        <v>331.55970869820425</v>
      </c>
      <c r="AH124" s="2" t="n">
        <v>42.56882270389514</v>
      </c>
      <c r="AI124" s="2" t="n">
        <v>11.1440612814895</v>
      </c>
      <c r="AJ124" s="2" t="n">
        <v>373.4627521343333</v>
      </c>
      <c r="AK124" s="2" t="n">
        <v>373.74964106030046</v>
      </c>
      <c r="AL124" s="2" t="n">
        <v>374.01121808197223</v>
      </c>
      <c r="AM124" s="2" t="n">
        <v>17153692346.708841</v>
      </c>
      <c r="AN124" s="2" t="n">
        <v>17058092937.352604</v>
      </c>
      <c r="AO124" s="2" t="n">
        <v>361.90068419889326</v>
      </c>
      <c r="AP124" s="2" t="n">
        <v>261.90104627739555</v>
      </c>
      <c r="AQ124" s="2" t="n">
        <v>9.314469696465306</v>
      </c>
      <c r="AR124" s="2" t="n">
        <v>45.15938832895254</v>
      </c>
      <c r="AS124" s="2" t="n">
        <v>7.597892834704707</v>
      </c>
      <c r="AT124" s="2" t="n">
        <v>2.2259123202625832</v>
      </c>
      <c r="AU124" s="2" t="n">
        <v>310.8175982922434</v>
      </c>
      <c r="AV124" s="2" t="n">
        <v>289.26204345016004</v>
      </c>
      <c r="AW124" s="2" t="n">
        <v>7.941966032969466e-05</v>
      </c>
      <c r="AX124" s="2" t="n">
        <v>999</v>
      </c>
      <c r="AY124" s="2" t="n">
        <v>9.937254503711301e-07</v>
      </c>
      <c r="AZ124" s="2" t="s">
        <v>131</v>
      </c>
      <c r="BA124" s="2" t="n">
        <v>4.48</v>
      </c>
      <c r="BB124" s="2" t="s">
        <v>132</v>
      </c>
      <c r="BC124" s="2" t="n">
        <v>4</v>
      </c>
      <c r="BD124" s="2" t="s">
        <v>133</v>
      </c>
      <c r="BE124" s="2" t="n">
        <v>3000</v>
      </c>
      <c r="BF124" s="2" t="s">
        <v>134</v>
      </c>
      <c r="BG124" s="2" t="n">
        <v>120</v>
      </c>
    </row>
    <row r="125" customFormat="false" ht="15" hidden="false" customHeight="false" outlineLevel="0" collapsed="false">
      <c r="A125" s="2" t="s">
        <v>257</v>
      </c>
      <c r="B125" s="2" t="s">
        <v>128</v>
      </c>
      <c r="C125" s="2" t="s">
        <v>129</v>
      </c>
      <c r="D125" s="2" t="s">
        <v>130</v>
      </c>
      <c r="E125" s="2" t="n">
        <v>1</v>
      </c>
      <c r="F125" s="2" t="n">
        <v>568.0148604829012</v>
      </c>
      <c r="G125" s="2" t="n">
        <v>297.6532278659657</v>
      </c>
      <c r="H125" s="2" t="n">
        <v>307.51520350418144</v>
      </c>
      <c r="I125" s="2" t="n">
        <v>2.884283980765398</v>
      </c>
      <c r="J125" s="2" t="n">
        <v>0.002769768690989766</v>
      </c>
      <c r="K125" s="2" t="n">
        <v>0.0002308140575824805</v>
      </c>
      <c r="L125" s="2" t="n">
        <v>20.07801571094827</v>
      </c>
      <c r="M125" s="2" t="n">
        <v>0.9673640005896861</v>
      </c>
      <c r="N125" s="2" t="n">
        <v>1.7121773720182283</v>
      </c>
      <c r="O125" s="2" t="n">
        <v>5.198875</v>
      </c>
      <c r="P125" s="2" t="n">
        <v>5.029204518565705</v>
      </c>
      <c r="Q125" s="2" t="n">
        <v>28.056939</v>
      </c>
      <c r="R125" s="2" t="n">
        <v>26.255490193702318</v>
      </c>
      <c r="S125" s="2" t="n">
        <v>56.33222374615292</v>
      </c>
      <c r="T125" s="2" t="n">
        <v>58.23270631511395</v>
      </c>
      <c r="U125" s="2" t="n">
        <v>0.0007592319009336817</v>
      </c>
      <c r="V125" s="2" t="n">
        <v>9.086830612031152</v>
      </c>
      <c r="W125" s="2" t="n">
        <v>2.5244151383682307e-05</v>
      </c>
      <c r="X125" s="2" t="n">
        <v>368.58881907137794</v>
      </c>
      <c r="Y125" s="2" t="n">
        <v>297.672672022482</v>
      </c>
      <c r="Z125" s="2" t="n">
        <v>16.660279126908513</v>
      </c>
      <c r="AA125" s="2" t="n">
        <v>313.2528533356006</v>
      </c>
      <c r="AB125" s="2" t="n">
        <v>15.59962546963493</v>
      </c>
      <c r="AC125" s="2" t="n">
        <v>180.60674062689844</v>
      </c>
      <c r="AD125" s="2" t="n">
        <v>0.6021994223768626</v>
      </c>
      <c r="AE125" s="2" t="n">
        <v>318.1482733323463</v>
      </c>
      <c r="AF125" s="2" t="n">
        <v>323.9429630967315</v>
      </c>
      <c r="AG125" s="2" t="n">
        <v>304.43902109447976</v>
      </c>
      <c r="AH125" s="2" t="n">
        <v>19.503942002251733</v>
      </c>
      <c r="AI125" s="2" t="n">
        <v>4.873635281601433</v>
      </c>
      <c r="AJ125" s="2" t="n">
        <v>323.4083072186821</v>
      </c>
      <c r="AK125" s="2" t="n">
        <v>323.6393702346716</v>
      </c>
      <c r="AL125" s="2" t="n">
        <v>323.8530395962467</v>
      </c>
      <c r="AM125" s="2" t="n">
        <v>10259438995.627277</v>
      </c>
      <c r="AN125" s="2" t="n">
        <v>10245149077.811655</v>
      </c>
      <c r="AO125" s="2" t="n">
        <v>318.2591535311445</v>
      </c>
      <c r="AP125" s="2" t="n">
        <v>194.61489646968755</v>
      </c>
      <c r="AQ125" s="2" t="n">
        <v>1.7574136086517604</v>
      </c>
      <c r="AR125" s="2" t="n">
        <v>10.720869070053999</v>
      </c>
      <c r="AS125" s="2" t="n">
        <v>1.529672114884114</v>
      </c>
      <c r="AT125" s="2" t="n">
        <v>2.495102413117454</v>
      </c>
      <c r="AU125" s="2" t="n">
        <v>306.1410695514021</v>
      </c>
      <c r="AV125" s="2" t="n">
        <v>197.73243496921694</v>
      </c>
      <c r="AW125" s="2" t="n">
        <v>0.00010241154379111204</v>
      </c>
      <c r="AX125" s="2" t="n">
        <v>516</v>
      </c>
      <c r="AY125" s="2" t="n">
        <v>9.976233172892535e-07</v>
      </c>
      <c r="AZ125" s="2" t="s">
        <v>131</v>
      </c>
      <c r="BA125" s="2" t="n">
        <v>4.48</v>
      </c>
      <c r="BB125" s="2" t="s">
        <v>132</v>
      </c>
      <c r="BC125" s="2" t="n">
        <v>4</v>
      </c>
      <c r="BD125" s="2" t="s">
        <v>133</v>
      </c>
      <c r="BE125" s="2" t="n">
        <v>3000</v>
      </c>
      <c r="BF125" s="2" t="s">
        <v>134</v>
      </c>
      <c r="BG125" s="2" t="n">
        <v>120</v>
      </c>
    </row>
    <row r="126" customFormat="false" ht="15" hidden="false" customHeight="false" outlineLevel="0" collapsed="false">
      <c r="A126" s="2" t="s">
        <v>258</v>
      </c>
      <c r="B126" s="2" t="s">
        <v>128</v>
      </c>
      <c r="C126" s="2" t="s">
        <v>129</v>
      </c>
      <c r="D126" s="2" t="s">
        <v>130</v>
      </c>
      <c r="E126" s="2" t="n">
        <v>1</v>
      </c>
      <c r="F126" s="2" t="n">
        <v>990.0515585313489</v>
      </c>
      <c r="G126" s="2" t="n">
        <v>289.88197728307114</v>
      </c>
      <c r="H126" s="2" t="n">
        <v>301.8344692729305</v>
      </c>
      <c r="I126" s="2" t="n">
        <v>0.142426650521995</v>
      </c>
      <c r="J126" s="2" t="n">
        <v>0.0033821752032368955</v>
      </c>
      <c r="K126" s="2" t="n">
        <v>0.0002818479336030746</v>
      </c>
      <c r="L126" s="2" t="n">
        <v>21.334440660972355</v>
      </c>
      <c r="M126" s="2" t="n">
        <v>0.6538059183198034</v>
      </c>
      <c r="N126" s="2" t="n">
        <v>1.0565045477830783</v>
      </c>
      <c r="O126" s="2" t="n">
        <v>5.198875</v>
      </c>
      <c r="P126" s="2" t="n">
        <v>3.3990552436048684</v>
      </c>
      <c r="Q126" s="2" t="n">
        <v>28.056939</v>
      </c>
      <c r="R126" s="2" t="n">
        <v>11.99328027624044</v>
      </c>
      <c r="S126" s="2" t="n">
        <v>62.72093688132971</v>
      </c>
      <c r="T126" s="2" t="n">
        <v>95.9320420997632</v>
      </c>
      <c r="U126" s="2" t="n">
        <v>0.0008326671008506679</v>
      </c>
      <c r="V126" s="2" t="n">
        <v>28.174391102842844</v>
      </c>
      <c r="W126" s="2" t="n">
        <v>9.557745933233027e-05</v>
      </c>
      <c r="X126" s="2" t="n">
        <v>642.4513866919019</v>
      </c>
      <c r="Y126" s="2" t="n">
        <v>289.46251375780264</v>
      </c>
      <c r="Z126" s="2" t="n">
        <v>6.241221271983581</v>
      </c>
      <c r="AA126" s="2" t="n">
        <v>312.3984578278821</v>
      </c>
      <c r="AB126" s="2" t="n">
        <v>22.516480544810975</v>
      </c>
      <c r="AC126" s="2" t="n">
        <v>318.3265714406113</v>
      </c>
      <c r="AD126" s="2" t="n">
        <v>0.6089493305615019</v>
      </c>
      <c r="AE126" s="2" t="n">
        <v>317.4165555877984</v>
      </c>
      <c r="AF126" s="2" t="n">
        <v>324.6948904891859</v>
      </c>
      <c r="AG126" s="2" t="n">
        <v>299.8127676042257</v>
      </c>
      <c r="AH126" s="2" t="n">
        <v>24.88212288496021</v>
      </c>
      <c r="AI126" s="2" t="n">
        <v>6.072587733721962</v>
      </c>
      <c r="AJ126" s="2" t="n">
        <v>323.9761643270605</v>
      </c>
      <c r="AK126" s="2" t="n">
        <v>324.27453955160735</v>
      </c>
      <c r="AL126" s="2" t="n">
        <v>324.56069291432016</v>
      </c>
      <c r="AM126" s="2" t="n">
        <v>10173285913.27122</v>
      </c>
      <c r="AN126" s="2" t="n">
        <v>10151221367.577557</v>
      </c>
      <c r="AO126" s="2" t="n">
        <v>317.588898166843</v>
      </c>
      <c r="AP126" s="2" t="n">
        <v>339.21433217332424</v>
      </c>
      <c r="AQ126" s="2" t="n">
        <v>2.5476111440904368</v>
      </c>
      <c r="AR126" s="2" t="n">
        <v>16.098310505375125</v>
      </c>
      <c r="AS126" s="2" t="n">
        <v>2.2416370166624104</v>
      </c>
      <c r="AT126" s="2" t="n">
        <v>2.5388226007398247</v>
      </c>
      <c r="AU126" s="2" t="n">
        <v>299.3867024570593</v>
      </c>
      <c r="AV126" s="2" t="n">
        <v>297.79100574510613</v>
      </c>
      <c r="AW126" s="2" t="n">
        <v>5.889987029667184e-05</v>
      </c>
      <c r="AX126" s="2" t="n">
        <v>425</v>
      </c>
      <c r="AY126" s="2" t="n">
        <v>9.852394100562378e-07</v>
      </c>
      <c r="AZ126" s="2" t="s">
        <v>131</v>
      </c>
      <c r="BA126" s="2" t="n">
        <v>4.48</v>
      </c>
      <c r="BB126" s="2" t="s">
        <v>132</v>
      </c>
      <c r="BC126" s="2" t="n">
        <v>4</v>
      </c>
      <c r="BD126" s="2" t="s">
        <v>133</v>
      </c>
      <c r="BE126" s="2" t="n">
        <v>3000</v>
      </c>
      <c r="BF126" s="2" t="s">
        <v>134</v>
      </c>
      <c r="BG126" s="2" t="n">
        <v>120</v>
      </c>
    </row>
    <row r="127" customFormat="false" ht="15" hidden="false" customHeight="false" outlineLevel="0" collapsed="false">
      <c r="A127" s="2" t="s">
        <v>259</v>
      </c>
      <c r="B127" s="2" t="s">
        <v>128</v>
      </c>
      <c r="C127" s="2" t="s">
        <v>129</v>
      </c>
      <c r="D127" s="2" t="s">
        <v>130</v>
      </c>
      <c r="E127" s="2" t="n">
        <v>1</v>
      </c>
      <c r="F127" s="2" t="n">
        <v>732.0187656714647</v>
      </c>
      <c r="G127" s="2" t="n">
        <v>318.77005711253054</v>
      </c>
      <c r="H127" s="2" t="n">
        <v>288.9153375708755</v>
      </c>
      <c r="I127" s="2" t="n">
        <v>0.4479301097759308</v>
      </c>
      <c r="J127" s="2" t="n">
        <v>0.0013987863318884555</v>
      </c>
      <c r="K127" s="2" t="n">
        <v>0.0001165655276573713</v>
      </c>
      <c r="L127" s="2" t="n">
        <v>27.92217607385199</v>
      </c>
      <c r="M127" s="2" t="n">
        <v>0.3774292475444692</v>
      </c>
      <c r="N127" s="2" t="n">
        <v>0.6311385765822997</v>
      </c>
      <c r="O127" s="2" t="n">
        <v>5.198875</v>
      </c>
      <c r="P127" s="2" t="n">
        <v>1.962207479327752</v>
      </c>
      <c r="Q127" s="2" t="n">
        <v>28.056939</v>
      </c>
      <c r="R127" s="2" t="n">
        <v>3.9967905553359175</v>
      </c>
      <c r="S127" s="2" t="n">
        <v>46.49179547923539</v>
      </c>
      <c r="T127" s="2" t="n">
        <v>123.18016100158661</v>
      </c>
      <c r="U127" s="2" t="n">
        <v>0.0004645825601448027</v>
      </c>
      <c r="V127" s="2" t="n">
        <v>34.114028089124716</v>
      </c>
      <c r="W127" s="2" t="n">
        <v>4.786182168177181e-05</v>
      </c>
      <c r="X127" s="2" t="n">
        <v>475.0121011755731</v>
      </c>
      <c r="Y127" s="2" t="n">
        <v>271.07843789295214</v>
      </c>
      <c r="Z127" s="2" t="n">
        <v>7.402134417148537</v>
      </c>
      <c r="AA127" s="2" t="n">
        <v>347.0111503728287</v>
      </c>
      <c r="AB127" s="2" t="n">
        <v>28.241093260298157</v>
      </c>
      <c r="AC127" s="2" t="n">
        <v>165.12360694538557</v>
      </c>
      <c r="AD127" s="2" t="n">
        <v>0.42722143028173076</v>
      </c>
      <c r="AE127" s="2" t="n">
        <v>364.23596593103025</v>
      </c>
      <c r="AF127" s="2" t="n">
        <v>377.4715697231271</v>
      </c>
      <c r="AG127" s="2" t="n">
        <v>333.0494564896511</v>
      </c>
      <c r="AH127" s="2" t="n">
        <v>44.42211323347601</v>
      </c>
      <c r="AI127" s="2" t="n">
        <v>11.708028063666346</v>
      </c>
      <c r="AJ127" s="2" t="n">
        <v>376.873673857123</v>
      </c>
      <c r="AK127" s="2" t="n">
        <v>377.14445580418857</v>
      </c>
      <c r="AL127" s="2" t="n">
        <v>377.37285088778873</v>
      </c>
      <c r="AM127" s="2" t="n">
        <v>17707813636.53656</v>
      </c>
      <c r="AN127" s="2" t="n">
        <v>17600755472.4822</v>
      </c>
      <c r="AO127" s="2" t="n">
        <v>364.7885814560519</v>
      </c>
      <c r="AP127" s="2" t="n">
        <v>250.8063894207026</v>
      </c>
      <c r="AQ127" s="2" t="n">
        <v>12.18426203144473</v>
      </c>
      <c r="AR127" s="2" t="n">
        <v>62.662697484718336</v>
      </c>
      <c r="AS127" s="2" t="n">
        <v>10.835616312129709</v>
      </c>
      <c r="AT127" s="2" t="n">
        <v>2.154496060978021</v>
      </c>
      <c r="AU127" s="2" t="n">
        <v>294.0547359163545</v>
      </c>
      <c r="AV127" s="2" t="n">
        <v>254.7273465752538</v>
      </c>
      <c r="AW127" s="2" t="n">
        <v>8.288839161486316e-05</v>
      </c>
      <c r="AX127" s="2" t="n">
        <v>1209</v>
      </c>
      <c r="AY127" s="2" t="n">
        <v>9.893206538436061e-07</v>
      </c>
      <c r="AZ127" s="2" t="s">
        <v>131</v>
      </c>
      <c r="BA127" s="2" t="n">
        <v>4.48</v>
      </c>
      <c r="BB127" s="2" t="s">
        <v>132</v>
      </c>
      <c r="BC127" s="2" t="n">
        <v>4</v>
      </c>
      <c r="BD127" s="2" t="s">
        <v>133</v>
      </c>
      <c r="BE127" s="2" t="n">
        <v>3000</v>
      </c>
      <c r="BF127" s="2" t="s">
        <v>134</v>
      </c>
      <c r="BG127" s="2" t="n">
        <v>120</v>
      </c>
    </row>
    <row r="128" customFormat="false" ht="15" hidden="false" customHeight="false" outlineLevel="0" collapsed="false">
      <c r="A128" s="2" t="s">
        <v>260</v>
      </c>
      <c r="B128" s="2" t="s">
        <v>128</v>
      </c>
      <c r="C128" s="2" t="s">
        <v>129</v>
      </c>
      <c r="D128" s="2" t="s">
        <v>130</v>
      </c>
      <c r="E128" s="2" t="n">
        <v>1</v>
      </c>
      <c r="F128" s="2" t="n">
        <v>638.0006636752368</v>
      </c>
      <c r="G128" s="2" t="n">
        <v>288.5212444622331</v>
      </c>
      <c r="H128" s="2" t="n">
        <v>286.1964462863453</v>
      </c>
      <c r="I128" s="2" t="n">
        <v>1.2805536217400584</v>
      </c>
      <c r="J128" s="2" t="n">
        <v>0.00296284409540995</v>
      </c>
      <c r="K128" s="2" t="n">
        <v>0.00024690367461749585</v>
      </c>
      <c r="L128" s="2" t="n">
        <v>25.890943076644575</v>
      </c>
      <c r="M128" s="2" t="n">
        <v>0.6798850082572961</v>
      </c>
      <c r="N128" s="2" t="n">
        <v>1.8988811157333934</v>
      </c>
      <c r="O128" s="2" t="n">
        <v>5.198875</v>
      </c>
      <c r="P128" s="2" t="n">
        <v>3.5346371723036505</v>
      </c>
      <c r="Q128" s="2" t="n">
        <v>28.056939</v>
      </c>
      <c r="R128" s="2" t="n">
        <v>12.969141174417393</v>
      </c>
      <c r="S128" s="2" t="n">
        <v>49.15660813601793</v>
      </c>
      <c r="T128" s="2" t="n">
        <v>72.3013561690642</v>
      </c>
      <c r="U128" s="2" t="n">
        <v>0.0009307107553474824</v>
      </c>
      <c r="V128" s="2" t="n">
        <v>20.712816418188762</v>
      </c>
      <c r="W128" s="2" t="n">
        <v>6.155350634296975e-05</v>
      </c>
      <c r="X128" s="2" t="n">
        <v>414.00309666350677</v>
      </c>
      <c r="Y128" s="2" t="n">
        <v>267.2609039235616</v>
      </c>
      <c r="Z128" s="2" t="n">
        <v>10.566103762612222</v>
      </c>
      <c r="AA128" s="2" t="n">
        <v>303.9362324090328</v>
      </c>
      <c r="AB128" s="2" t="n">
        <v>15.414987946799727</v>
      </c>
      <c r="AC128" s="2" t="n">
        <v>190.90982115938286</v>
      </c>
      <c r="AD128" s="2" t="n">
        <v>0.5667261047987427</v>
      </c>
      <c r="AE128" s="2" t="n">
        <v>308.09397599621474</v>
      </c>
      <c r="AF128" s="2" t="n">
        <v>313.418086039369</v>
      </c>
      <c r="AG128" s="2" t="n">
        <v>295.44979855426675</v>
      </c>
      <c r="AH128" s="2" t="n">
        <v>17.968287485102223</v>
      </c>
      <c r="AI128" s="2" t="n">
        <v>4.481461198014126</v>
      </c>
      <c r="AJ128" s="2" t="n">
        <v>312.9375796425925</v>
      </c>
      <c r="AK128" s="2" t="n">
        <v>313.141205069644</v>
      </c>
      <c r="AL128" s="2" t="n">
        <v>313.3273665091036</v>
      </c>
      <c r="AM128" s="2" t="n">
        <v>9021506589.064045</v>
      </c>
      <c r="AN128" s="2" t="n">
        <v>9010166728.495018</v>
      </c>
      <c r="AO128" s="2" t="n">
        <v>308.1908691818302</v>
      </c>
      <c r="AP128" s="2" t="n">
        <v>218.59363503833157</v>
      </c>
      <c r="AQ128" s="2" t="n">
        <v>2.9993626126781088</v>
      </c>
      <c r="AR128" s="2" t="n">
        <v>21.53407889077446</v>
      </c>
      <c r="AS128" s="2" t="n">
        <v>3.15017592504745</v>
      </c>
      <c r="AT128" s="2" t="n">
        <v>2.394400938120234</v>
      </c>
      <c r="AU128" s="2" t="n">
        <v>283.97614825418077</v>
      </c>
      <c r="AV128" s="2" t="n">
        <v>194.45609933208888</v>
      </c>
      <c r="AW128" s="2" t="n">
        <v>8.903394057408972e-05</v>
      </c>
      <c r="AX128" s="2" t="n">
        <v>460</v>
      </c>
      <c r="AY128" s="2" t="n">
        <v>9.845342674452695e-07</v>
      </c>
      <c r="AZ128" s="2" t="s">
        <v>131</v>
      </c>
      <c r="BA128" s="2" t="n">
        <v>4.48</v>
      </c>
      <c r="BB128" s="2" t="s">
        <v>132</v>
      </c>
      <c r="BC128" s="2" t="n">
        <v>4</v>
      </c>
      <c r="BD128" s="2" t="s">
        <v>133</v>
      </c>
      <c r="BE128" s="2" t="n">
        <v>3000</v>
      </c>
      <c r="BF128" s="2" t="s">
        <v>134</v>
      </c>
      <c r="BG128" s="2" t="n">
        <v>120</v>
      </c>
    </row>
    <row r="129" customFormat="false" ht="15" hidden="false" customHeight="false" outlineLevel="0" collapsed="false">
      <c r="A129" s="2" t="s">
        <v>261</v>
      </c>
      <c r="B129" s="2" t="s">
        <v>128</v>
      </c>
      <c r="C129" s="2" t="s">
        <v>129</v>
      </c>
      <c r="D129" s="2" t="s">
        <v>130</v>
      </c>
      <c r="E129" s="2" t="n">
        <v>1</v>
      </c>
      <c r="F129" s="2" t="n">
        <v>582.0602776758244</v>
      </c>
      <c r="G129" s="2" t="n">
        <v>322.7069301518482</v>
      </c>
      <c r="H129" s="2" t="n">
        <v>296.1891486028719</v>
      </c>
      <c r="I129" s="2" t="n">
        <v>3.9640469251467163</v>
      </c>
      <c r="J129" s="2" t="n">
        <v>0.0031652145240998455</v>
      </c>
      <c r="K129" s="2" t="n">
        <v>0.00026376787700832044</v>
      </c>
      <c r="L129" s="2" t="n">
        <v>21.165481979174768</v>
      </c>
      <c r="M129" s="2" t="n">
        <v>0.44337284925084747</v>
      </c>
      <c r="N129" s="2" t="n">
        <v>1.483245879548506</v>
      </c>
      <c r="O129" s="2" t="n">
        <v>5.198875</v>
      </c>
      <c r="P129" s="2" t="n">
        <v>2.3050400216490003</v>
      </c>
      <c r="Q129" s="2" t="n">
        <v>28.056939</v>
      </c>
      <c r="R129" s="2" t="n">
        <v>5.515418575887135</v>
      </c>
      <c r="S129" s="2" t="n">
        <v>97.99672977941428</v>
      </c>
      <c r="T129" s="2" t="n">
        <v>221.02555432746072</v>
      </c>
      <c r="U129" s="2" t="n">
        <v>0.0004987459800186625</v>
      </c>
      <c r="V129" s="2" t="n">
        <v>31.95420979433775</v>
      </c>
      <c r="W129" s="2" t="n">
        <v>0.00010144626775042265</v>
      </c>
      <c r="X129" s="2" t="n">
        <v>377.7029886057861</v>
      </c>
      <c r="Y129" s="2" t="n">
        <v>281.37971975636634</v>
      </c>
      <c r="Z129" s="2" t="n">
        <v>20.76337831555752</v>
      </c>
      <c r="AA129" s="2" t="n">
        <v>334.1260086428141</v>
      </c>
      <c r="AB129" s="2" t="n">
        <v>11.419078490965887</v>
      </c>
      <c r="AC129" s="2" t="n">
        <v>151.08122232222496</v>
      </c>
      <c r="AD129" s="2" t="n">
        <v>0.4915962995845271</v>
      </c>
      <c r="AE129" s="2" t="n">
        <v>337.15600682086006</v>
      </c>
      <c r="AF129" s="2" t="n">
        <v>341.14400695306</v>
      </c>
      <c r="AG129" s="2" t="n">
        <v>327.5536019277772</v>
      </c>
      <c r="AH129" s="2" t="n">
        <v>13.590405025282791</v>
      </c>
      <c r="AI129" s="2" t="n">
        <v>3.3543719756041974</v>
      </c>
      <c r="AJ129" s="2" t="n">
        <v>340.76247071131303</v>
      </c>
      <c r="AK129" s="2" t="n">
        <v>340.92777347358077</v>
      </c>
      <c r="AL129" s="2" t="n">
        <v>341.0714116869584</v>
      </c>
      <c r="AM129" s="2" t="n">
        <v>12929440754.807247</v>
      </c>
      <c r="AN129" s="2" t="n">
        <v>12921817592.54446</v>
      </c>
      <c r="AO129" s="2" t="n">
        <v>337.20572170273323</v>
      </c>
      <c r="AP129" s="2" t="n">
        <v>199.42717798385507</v>
      </c>
      <c r="AQ129" s="2" t="n">
        <v>6.189415729376926</v>
      </c>
      <c r="AR129" s="2" t="n">
        <v>36.26285353541997</v>
      </c>
      <c r="AS129" s="2" t="n">
        <v>5.893487173805437</v>
      </c>
      <c r="AT129" s="2" t="n">
        <v>2.235082550826501</v>
      </c>
      <c r="AU129" s="2" t="n">
        <v>296.5421844494491</v>
      </c>
      <c r="AV129" s="2" t="n">
        <v>153.0508172080825</v>
      </c>
      <c r="AW129" s="2" t="n">
        <v>0.00010173909183827979</v>
      </c>
      <c r="AX129" s="2" t="n">
        <v>417</v>
      </c>
      <c r="AY129" s="2" t="n">
        <v>9.731784302857704e-07</v>
      </c>
      <c r="AZ129" s="2" t="s">
        <v>131</v>
      </c>
      <c r="BA129" s="2" t="n">
        <v>4.48</v>
      </c>
      <c r="BB129" s="2" t="s">
        <v>132</v>
      </c>
      <c r="BC129" s="2" t="n">
        <v>4</v>
      </c>
      <c r="BD129" s="2" t="s">
        <v>133</v>
      </c>
      <c r="BE129" s="2" t="n">
        <v>3000</v>
      </c>
      <c r="BF129" s="2" t="s">
        <v>134</v>
      </c>
      <c r="BG129" s="2" t="n">
        <v>120</v>
      </c>
    </row>
    <row r="130" customFormat="false" ht="15" hidden="false" customHeight="false" outlineLevel="0" collapsed="false">
      <c r="A130" s="2" t="s">
        <v>262</v>
      </c>
      <c r="B130" s="2" t="s">
        <v>128</v>
      </c>
      <c r="C130" s="2" t="s">
        <v>129</v>
      </c>
      <c r="D130" s="2" t="s">
        <v>130</v>
      </c>
      <c r="E130" s="2" t="n">
        <v>1</v>
      </c>
      <c r="F130" s="2" t="n">
        <v>702.2304908098218</v>
      </c>
      <c r="G130" s="2" t="n">
        <v>293.7252403344399</v>
      </c>
      <c r="H130" s="2" t="n">
        <v>312.0126028896009</v>
      </c>
      <c r="I130" s="2" t="n">
        <v>3.185308584074141</v>
      </c>
      <c r="J130" s="2" t="n">
        <v>0.004301124639441072</v>
      </c>
      <c r="K130" s="2" t="n">
        <v>0.000358427053286756</v>
      </c>
      <c r="L130" s="2" t="n">
        <v>35.179191223854886</v>
      </c>
      <c r="M130" s="2" t="n">
        <v>0.581758393642783</v>
      </c>
      <c r="N130" s="2" t="n">
        <v>0.6693963518673411</v>
      </c>
      <c r="O130" s="2" t="n">
        <v>5.198875</v>
      </c>
      <c r="P130" s="2" t="n">
        <v>3.0244891687496236</v>
      </c>
      <c r="Q130" s="2" t="n">
        <v>28.056939</v>
      </c>
      <c r="R130" s="2" t="n">
        <v>9.49566979628344</v>
      </c>
      <c r="S130" s="2" t="n">
        <v>78.56424194355787</v>
      </c>
      <c r="T130" s="2" t="n">
        <v>135.0461683098614</v>
      </c>
      <c r="U130" s="2" t="n">
        <v>0.0008453663273404804</v>
      </c>
      <c r="V130" s="2" t="n">
        <v>57.990936327905494</v>
      </c>
      <c r="W130" s="2" t="n">
        <v>0.0002501767754305042</v>
      </c>
      <c r="X130" s="2" t="n">
        <v>455.68228109992896</v>
      </c>
      <c r="Y130" s="2" t="n">
        <v>304.22666909973435</v>
      </c>
      <c r="Z130" s="2" t="n">
        <v>17.804172619481736</v>
      </c>
      <c r="AA130" s="2" t="n">
        <v>307.19185555026223</v>
      </c>
      <c r="AB130" s="2" t="n">
        <v>13.466615215822344</v>
      </c>
      <c r="AC130" s="2" t="n">
        <v>242.11224835121834</v>
      </c>
      <c r="AD130" s="2" t="n">
        <v>0.6529849257596447</v>
      </c>
      <c r="AE130" s="2" t="n">
        <v>308.9723431866806</v>
      </c>
      <c r="AF130" s="2" t="n">
        <v>312.48132206908366</v>
      </c>
      <c r="AG130" s="2" t="n">
        <v>300.0868184178257</v>
      </c>
      <c r="AH130" s="2" t="n">
        <v>12.394503651257935</v>
      </c>
      <c r="AI130" s="2" t="n">
        <v>2.9521922199964172</v>
      </c>
      <c r="AJ130" s="2" t="n">
        <v>312.14476963791475</v>
      </c>
      <c r="AK130" s="2" t="n">
        <v>312.27737791347135</v>
      </c>
      <c r="AL130" s="2" t="n">
        <v>312.41183401257217</v>
      </c>
      <c r="AM130" s="2" t="n">
        <v>9118322958.045902</v>
      </c>
      <c r="AN130" s="2" t="n">
        <v>9113357893.735973</v>
      </c>
      <c r="AO130" s="2" t="n">
        <v>309.0144175311377</v>
      </c>
      <c r="AP130" s="2" t="n">
        <v>240.6002444207625</v>
      </c>
      <c r="AQ130" s="2" t="n">
        <v>-0.14172774034245367</v>
      </c>
      <c r="AR130" s="2" t="n">
        <v>-0.933104410943199</v>
      </c>
      <c r="AS130" s="2" t="n">
        <v>-0.4373713861301376</v>
      </c>
      <c r="AT130" s="2" t="n">
        <v>0.9419076287893831</v>
      </c>
      <c r="AU130" s="2" t="n">
        <v>310.01740536754323</v>
      </c>
      <c r="AV130" s="2" t="n">
        <v>182.88041000309397</v>
      </c>
      <c r="AW130" s="2" t="n">
        <v>8.464156799579878e-05</v>
      </c>
      <c r="AX130" s="2" t="n">
        <v>275</v>
      </c>
      <c r="AY130" s="2" t="n">
        <v>9.815652219913318e-07</v>
      </c>
      <c r="AZ130" s="2" t="s">
        <v>131</v>
      </c>
      <c r="BA130" s="2" t="n">
        <v>4.48</v>
      </c>
      <c r="BB130" s="2" t="s">
        <v>132</v>
      </c>
      <c r="BC130" s="2" t="n">
        <v>4</v>
      </c>
      <c r="BD130" s="2" t="s">
        <v>133</v>
      </c>
      <c r="BE130" s="2" t="n">
        <v>3000</v>
      </c>
      <c r="BF130" s="2" t="s">
        <v>134</v>
      </c>
      <c r="BG130" s="2" t="n">
        <v>120</v>
      </c>
    </row>
    <row r="131" customFormat="false" ht="15" hidden="false" customHeight="false" outlineLevel="0" collapsed="false">
      <c r="A131" s="2" t="s">
        <v>263</v>
      </c>
      <c r="B131" s="2" t="s">
        <v>128</v>
      </c>
      <c r="C131" s="2" t="s">
        <v>129</v>
      </c>
      <c r="D131" s="2" t="s">
        <v>130</v>
      </c>
      <c r="E131" s="2" t="n">
        <v>1</v>
      </c>
      <c r="F131" s="2" t="n">
        <v>718.4347887804221</v>
      </c>
      <c r="G131" s="2" t="n">
        <v>299.4999013954464</v>
      </c>
      <c r="H131" s="2" t="n">
        <v>283.45323379517157</v>
      </c>
      <c r="I131" s="2" t="n">
        <v>0.6292834257148079</v>
      </c>
      <c r="J131" s="2" t="n">
        <v>0.0032954829772077897</v>
      </c>
      <c r="K131" s="2" t="n">
        <v>0.0002746235814339825</v>
      </c>
      <c r="L131" s="2" t="n">
        <v>20.542807910461825</v>
      </c>
      <c r="M131" s="2" t="n">
        <v>0.9161083411780967</v>
      </c>
      <c r="N131" s="2" t="n">
        <v>1.243759860998746</v>
      </c>
      <c r="O131" s="2" t="n">
        <v>5.198875</v>
      </c>
      <c r="P131" s="2" t="n">
        <v>4.762732752242278</v>
      </c>
      <c r="Q131" s="2" t="n">
        <v>28.056939</v>
      </c>
      <c r="R131" s="2" t="n">
        <v>23.546912109294528</v>
      </c>
      <c r="S131" s="2" t="n">
        <v>69.10589180262498</v>
      </c>
      <c r="T131" s="2" t="n">
        <v>75.4341912374209</v>
      </c>
      <c r="U131" s="2" t="n">
        <v>0.0007363627963999475</v>
      </c>
      <c r="V131" s="2" t="n">
        <v>11.702548481766629</v>
      </c>
      <c r="W131" s="2" t="n">
        <v>3.8681594093892467e-05</v>
      </c>
      <c r="X131" s="2" t="n">
        <v>466.1973634831372</v>
      </c>
      <c r="Y131" s="2" t="n">
        <v>263.4275554769061</v>
      </c>
      <c r="Z131" s="2" t="n">
        <v>8.09127701771627</v>
      </c>
      <c r="AA131" s="2" t="n">
        <v>314.3737976814275</v>
      </c>
      <c r="AB131" s="2" t="n">
        <v>14.873896285981118</v>
      </c>
      <c r="AC131" s="2" t="n">
        <v>204.88968902355663</v>
      </c>
      <c r="AD131" s="2" t="n">
        <v>0.5401306555775748</v>
      </c>
      <c r="AE131" s="2" t="n">
        <v>317.92055052077194</v>
      </c>
      <c r="AF131" s="2" t="n">
        <v>322.8834471785209</v>
      </c>
      <c r="AG131" s="2" t="n">
        <v>305.9316851669586</v>
      </c>
      <c r="AH131" s="2" t="n">
        <v>16.951762011562323</v>
      </c>
      <c r="AI131" s="2" t="n">
        <v>4.144696803213268</v>
      </c>
      <c r="AJ131" s="2" t="n">
        <v>322.39143709111727</v>
      </c>
      <c r="AK131" s="2" t="n">
        <v>322.6013009159977</v>
      </c>
      <c r="AL131" s="2" t="n">
        <v>322.7902478605064</v>
      </c>
      <c r="AM131" s="2" t="n">
        <v>10226184195.458078</v>
      </c>
      <c r="AN131" s="2" t="n">
        <v>10215847640.36074</v>
      </c>
      <c r="AO131" s="2" t="n">
        <v>318.00093927682707</v>
      </c>
      <c r="AP131" s="2" t="n">
        <v>246.15220791909647</v>
      </c>
      <c r="AQ131" s="2" t="n">
        <v>4.603018008274638</v>
      </c>
      <c r="AR131" s="2" t="n">
        <v>31.70083297847957</v>
      </c>
      <c r="AS131" s="2" t="n">
        <v>4.958463935821693</v>
      </c>
      <c r="AT131" s="2" t="n">
        <v>2.26732793421622</v>
      </c>
      <c r="AU131" s="2" t="n">
        <v>282.4161190133019</v>
      </c>
      <c r="AV131" s="2" t="n">
        <v>197.59458577539152</v>
      </c>
      <c r="AW131" s="2" t="n">
        <v>8.144842537908669e-05</v>
      </c>
      <c r="AX131" s="2" t="n">
        <v>413</v>
      </c>
      <c r="AY131" s="2" t="n">
        <v>9.908945344250242e-07</v>
      </c>
      <c r="AZ131" s="2" t="s">
        <v>131</v>
      </c>
      <c r="BA131" s="2" t="n">
        <v>4.48</v>
      </c>
      <c r="BB131" s="2" t="s">
        <v>132</v>
      </c>
      <c r="BC131" s="2" t="n">
        <v>4</v>
      </c>
      <c r="BD131" s="2" t="s">
        <v>133</v>
      </c>
      <c r="BE131" s="2" t="n">
        <v>3000</v>
      </c>
      <c r="BF131" s="2" t="s">
        <v>134</v>
      </c>
      <c r="BG131" s="2" t="n">
        <v>120</v>
      </c>
    </row>
    <row r="132" customFormat="false" ht="15" hidden="false" customHeight="false" outlineLevel="0" collapsed="false">
      <c r="A132" s="2" t="s">
        <v>264</v>
      </c>
      <c r="B132" s="2" t="s">
        <v>128</v>
      </c>
      <c r="C132" s="2" t="s">
        <v>129</v>
      </c>
      <c r="D132" s="2" t="s">
        <v>130</v>
      </c>
      <c r="E132" s="2" t="n">
        <v>1</v>
      </c>
      <c r="F132" s="2" t="n">
        <v>749.3655015026209</v>
      </c>
      <c r="G132" s="2" t="n">
        <v>319.3738146169125</v>
      </c>
      <c r="H132" s="2" t="n">
        <v>291.29249176186823</v>
      </c>
      <c r="I132" s="2" t="n">
        <v>3.1145349992586473</v>
      </c>
      <c r="J132" s="2" t="n">
        <v>0.0026690497593455965</v>
      </c>
      <c r="K132" s="2" t="n">
        <v>0.00022242081327879972</v>
      </c>
      <c r="L132" s="2" t="n">
        <v>21.825834812929543</v>
      </c>
      <c r="M132" s="2" t="n">
        <v>0.9940738727346405</v>
      </c>
      <c r="N132" s="2" t="n">
        <v>1.9738209509226392</v>
      </c>
      <c r="O132" s="2" t="n">
        <v>5.198875</v>
      </c>
      <c r="P132" s="2" t="n">
        <v>5.168065805113304</v>
      </c>
      <c r="Q132" s="2" t="n">
        <v>28.056939</v>
      </c>
      <c r="R132" s="2" t="n">
        <v>27.72538634882122</v>
      </c>
      <c r="S132" s="2" t="n">
        <v>82.31412171052017</v>
      </c>
      <c r="T132" s="2" t="n">
        <v>82.80483369317281</v>
      </c>
      <c r="U132" s="2" t="n">
        <v>0.0005006914362603299</v>
      </c>
      <c r="V132" s="2" t="n">
        <v>5.540341599715703</v>
      </c>
      <c r="W132" s="2" t="n">
        <v>1.4831943243143022e-05</v>
      </c>
      <c r="X132" s="2" t="n">
        <v>486.2685194835611</v>
      </c>
      <c r="Y132" s="2" t="n">
        <v>274.4309023351981</v>
      </c>
      <c r="Z132" s="2" t="n">
        <v>17.53523299718286</v>
      </c>
      <c r="AA132" s="2" t="n">
        <v>336.963432249983</v>
      </c>
      <c r="AB132" s="2" t="n">
        <v>17.589617633070475</v>
      </c>
      <c r="AC132" s="2" t="n">
        <v>196.24082049000623</v>
      </c>
      <c r="AD132" s="2" t="n">
        <v>0.49597722323718674</v>
      </c>
      <c r="AE132" s="2" t="n">
        <v>343.0442364624589</v>
      </c>
      <c r="AF132" s="2" t="n">
        <v>349.8664424205368</v>
      </c>
      <c r="AG132" s="2" t="n">
        <v>326.91564225568294</v>
      </c>
      <c r="AH132" s="2" t="n">
        <v>22.950800164853888</v>
      </c>
      <c r="AI132" s="2" t="n">
        <v>5.762151834532175</v>
      </c>
      <c r="AJ132" s="2" t="n">
        <v>349.2488556135929</v>
      </c>
      <c r="AK132" s="2" t="n">
        <v>349.5206496496776</v>
      </c>
      <c r="AL132" s="2" t="n">
        <v>349.75900361149496</v>
      </c>
      <c r="AM132" s="2" t="n">
        <v>13871631101.121674</v>
      </c>
      <c r="AN132" s="2" t="n">
        <v>13848428985.742308</v>
      </c>
      <c r="AO132" s="2" t="n">
        <v>343.1878331853105</v>
      </c>
      <c r="AP132" s="2" t="n">
        <v>256.7497782873203</v>
      </c>
      <c r="AQ132" s="2" t="n">
        <v>7.818963529609603</v>
      </c>
      <c r="AR132" s="2" t="n">
        <v>45.2447887413207</v>
      </c>
      <c r="AS132" s="2" t="n">
        <v>7.444999613884528</v>
      </c>
      <c r="AT132" s="2" t="n">
        <v>2.214423871534544</v>
      </c>
      <c r="AU132" s="2" t="n">
        <v>292.3707887323413</v>
      </c>
      <c r="AV132" s="2" t="n">
        <v>225.34233369392507</v>
      </c>
      <c r="AW132" s="2" t="n">
        <v>8.001949576165374e-05</v>
      </c>
      <c r="AX132" s="2" t="n">
        <v>574</v>
      </c>
      <c r="AY132" s="2" t="n">
        <v>9.928570534611936e-07</v>
      </c>
      <c r="AZ132" s="2" t="s">
        <v>131</v>
      </c>
      <c r="BA132" s="2" t="n">
        <v>4.48</v>
      </c>
      <c r="BB132" s="2" t="s">
        <v>132</v>
      </c>
      <c r="BC132" s="2" t="n">
        <v>4</v>
      </c>
      <c r="BD132" s="2" t="s">
        <v>133</v>
      </c>
      <c r="BE132" s="2" t="n">
        <v>3000</v>
      </c>
      <c r="BF132" s="2" t="s">
        <v>134</v>
      </c>
      <c r="BG132" s="2" t="n">
        <v>120</v>
      </c>
    </row>
    <row r="133" customFormat="false" ht="15" hidden="false" customHeight="false" outlineLevel="0" collapsed="false">
      <c r="A133" s="2" t="s">
        <v>265</v>
      </c>
      <c r="B133" s="2" t="s">
        <v>128</v>
      </c>
      <c r="C133" s="2" t="s">
        <v>129</v>
      </c>
      <c r="D133" s="2" t="s">
        <v>130</v>
      </c>
      <c r="E133" s="2" t="n">
        <v>1</v>
      </c>
      <c r="F133" s="2" t="n">
        <v>631.5229087409299</v>
      </c>
      <c r="G133" s="2" t="n">
        <v>307.0110890498341</v>
      </c>
      <c r="H133" s="2" t="n">
        <v>293.64447458298355</v>
      </c>
      <c r="I133" s="2" t="n">
        <v>1.799473540644538</v>
      </c>
      <c r="J133" s="2" t="n">
        <v>0.002738064028969248</v>
      </c>
      <c r="K133" s="2" t="n">
        <v>0.000228172002414104</v>
      </c>
      <c r="L133" s="2" t="n">
        <v>27.93861119125312</v>
      </c>
      <c r="M133" s="2" t="n">
        <v>0.8673510827704496</v>
      </c>
      <c r="N133" s="2" t="n">
        <v>1.1530177814433924</v>
      </c>
      <c r="O133" s="2" t="n">
        <v>5.198875</v>
      </c>
      <c r="P133" s="2" t="n">
        <v>4.509249860438222</v>
      </c>
      <c r="Q133" s="2" t="n">
        <v>28.056939</v>
      </c>
      <c r="R133" s="2" t="n">
        <v>21.107176312098684</v>
      </c>
      <c r="S133" s="2" t="n">
        <v>66.84811561858572</v>
      </c>
      <c r="T133" s="2" t="n">
        <v>77.07157683491073</v>
      </c>
      <c r="U133" s="2" t="n">
        <v>0.0006324734099425472</v>
      </c>
      <c r="V133" s="2" t="n">
        <v>9.34792800859962</v>
      </c>
      <c r="W133" s="2" t="n">
        <v>2.567224215219735e-05</v>
      </c>
      <c r="X133" s="2" t="n">
        <v>409.7996361423506</v>
      </c>
      <c r="Y133" s="2" t="n">
        <v>277.76135853093507</v>
      </c>
      <c r="Z133" s="2" t="n">
        <v>12.537999454449244</v>
      </c>
      <c r="AA133" s="2" t="n">
        <v>322.40467847960167</v>
      </c>
      <c r="AB133" s="2" t="n">
        <v>15.393589429767587</v>
      </c>
      <c r="AC133" s="2" t="n">
        <v>176.1812880064577</v>
      </c>
      <c r="AD133" s="2" t="n">
        <v>0.5283682938686501</v>
      </c>
      <c r="AE133" s="2" t="n">
        <v>327.3529775451645</v>
      </c>
      <c r="AF133" s="2" t="n">
        <v>333.07326817553957</v>
      </c>
      <c r="AG133" s="2" t="n">
        <v>313.85160914271313</v>
      </c>
      <c r="AH133" s="2" t="n">
        <v>19.221659032826437</v>
      </c>
      <c r="AI133" s="2" t="n">
        <v>4.847046432625849</v>
      </c>
      <c r="AJ133" s="2" t="n">
        <v>332.587377873981</v>
      </c>
      <c r="AK133" s="2" t="n">
        <v>332.79514066872855</v>
      </c>
      <c r="AL133" s="2" t="n">
        <v>332.9850457490431</v>
      </c>
      <c r="AM133" s="2" t="n">
        <v>11498226467.984077</v>
      </c>
      <c r="AN133" s="2" t="n">
        <v>11483259579.25583</v>
      </c>
      <c r="AO133" s="2" t="n">
        <v>327.45959062628253</v>
      </c>
      <c r="AP133" s="2" t="n">
        <v>216.37420788316112</v>
      </c>
      <c r="AQ133" s="2" t="n">
        <v>4.887696572574163</v>
      </c>
      <c r="AR133" s="2" t="n">
        <v>30.455715815028007</v>
      </c>
      <c r="AS133" s="2" t="n">
        <v>4.849301081344959</v>
      </c>
      <c r="AT133" s="2" t="n">
        <v>2.25827158202024</v>
      </c>
      <c r="AU133" s="2" t="n">
        <v>293.2430575660998</v>
      </c>
      <c r="AV133" s="2" t="n">
        <v>194.94413336611285</v>
      </c>
      <c r="AW133" s="2" t="n">
        <v>9.417825492948158e-05</v>
      </c>
      <c r="AX133" s="2" t="n">
        <v>530</v>
      </c>
      <c r="AY133" s="2" t="n">
        <v>9.989947784561082e-07</v>
      </c>
      <c r="AZ133" s="2" t="s">
        <v>131</v>
      </c>
      <c r="BA133" s="2" t="n">
        <v>4.48</v>
      </c>
      <c r="BB133" s="2" t="s">
        <v>132</v>
      </c>
      <c r="BC133" s="2" t="n">
        <v>4</v>
      </c>
      <c r="BD133" s="2" t="s">
        <v>133</v>
      </c>
      <c r="BE133" s="2" t="n">
        <v>3000</v>
      </c>
      <c r="BF133" s="2" t="s">
        <v>134</v>
      </c>
      <c r="BG133" s="2" t="n">
        <v>120</v>
      </c>
    </row>
    <row r="134" customFormat="false" ht="15" hidden="false" customHeight="false" outlineLevel="0" collapsed="false">
      <c r="A134" s="2" t="s">
        <v>266</v>
      </c>
      <c r="B134" s="2" t="s">
        <v>128</v>
      </c>
      <c r="C134" s="2" t="s">
        <v>129</v>
      </c>
      <c r="D134" s="2" t="s">
        <v>130</v>
      </c>
      <c r="E134" s="2" t="n">
        <v>1</v>
      </c>
      <c r="F134" s="2" t="n">
        <v>919.1880732499704</v>
      </c>
      <c r="G134" s="2" t="n">
        <v>316.1658331301952</v>
      </c>
      <c r="H134" s="2" t="n">
        <v>285.10774508255736</v>
      </c>
      <c r="I134" s="2" t="n">
        <v>2.4175786571285736</v>
      </c>
      <c r="J134" s="2" t="n">
        <v>0.0014591616150100805</v>
      </c>
      <c r="K134" s="2" t="n">
        <v>0.00012159680125084004</v>
      </c>
      <c r="L134" s="2" t="n">
        <v>29.825649629434913</v>
      </c>
      <c r="M134" s="2" t="n">
        <v>0.7232762346155106</v>
      </c>
      <c r="N134" s="2" t="n">
        <v>1.0814551855327434</v>
      </c>
      <c r="O134" s="2" t="n">
        <v>5.198875</v>
      </c>
      <c r="P134" s="2" t="n">
        <v>3.760222734236713</v>
      </c>
      <c r="Q134" s="2" t="n">
        <v>28.056939</v>
      </c>
      <c r="R134" s="2" t="n">
        <v>14.677384737988243</v>
      </c>
      <c r="S134" s="2" t="n">
        <v>49.11934640166632</v>
      </c>
      <c r="T134" s="2" t="n">
        <v>67.91229139137671</v>
      </c>
      <c r="U134" s="2" t="n">
        <v>0.000458710476111741</v>
      </c>
      <c r="V134" s="2" t="n">
        <v>5.3245688065435415</v>
      </c>
      <c r="W134" s="2" t="n">
        <v>7.792784773308296e-06</v>
      </c>
      <c r="X134" s="2" t="n">
        <v>596.4675750484186</v>
      </c>
      <c r="Y134" s="2" t="n">
        <v>265.7373505207289</v>
      </c>
      <c r="Z134" s="2" t="n">
        <v>14.886798897088578</v>
      </c>
      <c r="AA134" s="2" t="n">
        <v>351.25989601344037</v>
      </c>
      <c r="AB134" s="2" t="n">
        <v>35.09406288324516</v>
      </c>
      <c r="AC134" s="2" t="n">
        <v>214.04906160124196</v>
      </c>
      <c r="AD134" s="2" t="n">
        <v>0.44103699971758226</v>
      </c>
      <c r="AE134" s="2" t="n">
        <v>372.0733813185901</v>
      </c>
      <c r="AF134" s="2" t="n">
        <v>388.44629736161636</v>
      </c>
      <c r="AG134" s="2" t="n">
        <v>333.59736543753195</v>
      </c>
      <c r="AH134" s="2" t="n">
        <v>54.84893192408441</v>
      </c>
      <c r="AI134" s="2" t="n">
        <v>14.421113744299232</v>
      </c>
      <c r="AJ134" s="2" t="n">
        <v>387.6612234160701</v>
      </c>
      <c r="AK134" s="2" t="n">
        <v>388.0145710389306</v>
      </c>
      <c r="AL134" s="2" t="n">
        <v>388.3142633446627</v>
      </c>
      <c r="AM134" s="2" t="n">
        <v>19334322221.762756</v>
      </c>
      <c r="AN134" s="2" t="n">
        <v>19165246270.606823</v>
      </c>
      <c r="AO134" s="2" t="n">
        <v>372.8912889879895</v>
      </c>
      <c r="AP134" s="2" t="n">
        <v>314.93487962556503</v>
      </c>
      <c r="AQ134" s="2" t="n">
        <v>14.659675086021092</v>
      </c>
      <c r="AR134" s="2" t="n">
        <v>73.71507054660539</v>
      </c>
      <c r="AS134" s="2" t="n">
        <v>12.51086570982978</v>
      </c>
      <c r="AT134" s="2" t="n">
        <v>2.197093395918824</v>
      </c>
      <c r="AU134" s="2" t="n">
        <v>289.51366829568644</v>
      </c>
      <c r="AV134" s="2" t="n">
        <v>325.59582716527837</v>
      </c>
      <c r="AW134" s="2" t="n">
        <v>6.618062277339798e-05</v>
      </c>
      <c r="AX134" s="2" t="n">
        <v>1174</v>
      </c>
      <c r="AY134" s="2" t="n">
        <v>9.90146418189397e-07</v>
      </c>
      <c r="AZ134" s="2" t="s">
        <v>131</v>
      </c>
      <c r="BA134" s="2" t="n">
        <v>4.48</v>
      </c>
      <c r="BB134" s="2" t="s">
        <v>132</v>
      </c>
      <c r="BC134" s="2" t="n">
        <v>4</v>
      </c>
      <c r="BD134" s="2" t="s">
        <v>133</v>
      </c>
      <c r="BE134" s="2" t="n">
        <v>3000</v>
      </c>
      <c r="BF134" s="2" t="s">
        <v>134</v>
      </c>
      <c r="BG134" s="2" t="n">
        <v>120</v>
      </c>
    </row>
    <row r="135" customFormat="false" ht="15" hidden="false" customHeight="false" outlineLevel="0" collapsed="false">
      <c r="A135" s="2" t="s">
        <v>267</v>
      </c>
      <c r="B135" s="2" t="s">
        <v>128</v>
      </c>
      <c r="C135" s="2" t="s">
        <v>129</v>
      </c>
      <c r="D135" s="2" t="s">
        <v>130</v>
      </c>
      <c r="E135" s="2" t="n">
        <v>1</v>
      </c>
      <c r="F135" s="2" t="n">
        <v>958.317871817031</v>
      </c>
      <c r="G135" s="2" t="n">
        <v>314.4999628011986</v>
      </c>
      <c r="H135" s="2" t="n">
        <v>287.25411875586633</v>
      </c>
      <c r="I135" s="2" t="n">
        <v>4.7631336443541965</v>
      </c>
      <c r="J135" s="2" t="n">
        <v>0.0041679494875427785</v>
      </c>
      <c r="K135" s="2" t="n">
        <v>0.0003473291239618982</v>
      </c>
      <c r="L135" s="2" t="n">
        <v>25.906323933810665</v>
      </c>
      <c r="M135" s="2" t="n">
        <v>0.3713315751992302</v>
      </c>
      <c r="N135" s="2" t="n">
        <v>1.580296498337195</v>
      </c>
      <c r="O135" s="2" t="n">
        <v>5.198875</v>
      </c>
      <c r="P135" s="2" t="n">
        <v>1.930506443013898</v>
      </c>
      <c r="Q135" s="2" t="n">
        <v>28.056939</v>
      </c>
      <c r="R135" s="2" t="n">
        <v>3.8686910405110773</v>
      </c>
      <c r="S135" s="2" t="n">
        <v>116.75942724539158</v>
      </c>
      <c r="T135" s="2" t="n">
        <v>314.4344166874222</v>
      </c>
      <c r="U135" s="2" t="n">
        <v>0.0005512115798097312</v>
      </c>
      <c r="V135" s="2" t="n">
        <v>67.51681775377246</v>
      </c>
      <c r="W135" s="2" t="n">
        <v>0.0002822534462962438</v>
      </c>
      <c r="X135" s="2" t="n">
        <v>621.859175247174</v>
      </c>
      <c r="Y135" s="2" t="n">
        <v>268.7438128177971</v>
      </c>
      <c r="Z135" s="2" t="n">
        <v>23.799907848545946</v>
      </c>
      <c r="AA135" s="2" t="n">
        <v>330.28733211973616</v>
      </c>
      <c r="AB135" s="2" t="n">
        <v>15.787369318537571</v>
      </c>
      <c r="AC135" s="2" t="n">
        <v>275.04800385834153</v>
      </c>
      <c r="AD135" s="2" t="n">
        <v>0.5435819001726455</v>
      </c>
      <c r="AE135" s="2" t="n">
        <v>332.7033401660338</v>
      </c>
      <c r="AF135" s="2" t="n">
        <v>337.18116936384416</v>
      </c>
      <c r="AG135" s="2" t="n">
        <v>321.49604604439025</v>
      </c>
      <c r="AH135" s="2" t="n">
        <v>15.685123319453908</v>
      </c>
      <c r="AI135" s="2" t="n">
        <v>3.735857483102406</v>
      </c>
      <c r="AJ135" s="2" t="n">
        <v>336.72770027359905</v>
      </c>
      <c r="AK135" s="2" t="n">
        <v>336.90877508645843</v>
      </c>
      <c r="AL135" s="2" t="n">
        <v>337.0932204481279</v>
      </c>
      <c r="AM135" s="2" t="n">
        <v>12261821633.204256</v>
      </c>
      <c r="AN135" s="2" t="n">
        <v>12252610952.2972</v>
      </c>
      <c r="AO135" s="2" t="n">
        <v>332.76584849249855</v>
      </c>
      <c r="AP135" s="2" t="n">
        <v>328.3416445305079</v>
      </c>
      <c r="AQ135" s="2" t="n">
        <v>6.459079441301227</v>
      </c>
      <c r="AR135" s="2" t="n">
        <v>40.29602164567097</v>
      </c>
      <c r="AS135" s="2" t="n">
        <v>6.5383193901516155</v>
      </c>
      <c r="AT135" s="2" t="n">
        <v>2.220828484707252</v>
      </c>
      <c r="AU135" s="2" t="n">
        <v>287.5724333058419</v>
      </c>
      <c r="AV135" s="2" t="n">
        <v>221.57681759563303</v>
      </c>
      <c r="AW135" s="2" t="n">
        <v>6.480567699541668e-05</v>
      </c>
      <c r="AX135" s="2" t="n">
        <v>315</v>
      </c>
      <c r="AY135" s="2" t="n">
        <v>9.963411002900102e-07</v>
      </c>
      <c r="AZ135" s="2" t="s">
        <v>131</v>
      </c>
      <c r="BA135" s="2" t="n">
        <v>4.48</v>
      </c>
      <c r="BB135" s="2" t="s">
        <v>132</v>
      </c>
      <c r="BC135" s="2" t="n">
        <v>4</v>
      </c>
      <c r="BD135" s="2" t="s">
        <v>133</v>
      </c>
      <c r="BE135" s="2" t="n">
        <v>3000</v>
      </c>
      <c r="BF135" s="2" t="s">
        <v>134</v>
      </c>
      <c r="BG135" s="2" t="n">
        <v>120</v>
      </c>
    </row>
    <row r="136" customFormat="false" ht="15" hidden="false" customHeight="false" outlineLevel="0" collapsed="false">
      <c r="A136" s="2" t="s">
        <v>268</v>
      </c>
      <c r="B136" s="2" t="s">
        <v>128</v>
      </c>
      <c r="C136" s="2" t="s">
        <v>129</v>
      </c>
      <c r="D136" s="2" t="s">
        <v>130</v>
      </c>
      <c r="E136" s="2" t="n">
        <v>1</v>
      </c>
      <c r="F136" s="2" t="n">
        <v>497.41933117026616</v>
      </c>
      <c r="G136" s="2" t="n">
        <v>316.5382378731803</v>
      </c>
      <c r="H136" s="2" t="n">
        <v>302.34854325094864</v>
      </c>
      <c r="I136" s="2" t="n">
        <v>4.392739141424456</v>
      </c>
      <c r="J136" s="2" t="n">
        <v>0.0023209637358487002</v>
      </c>
      <c r="K136" s="2" t="n">
        <v>0.00019341364465405835</v>
      </c>
      <c r="L136" s="2" t="n">
        <v>34.53023324150283</v>
      </c>
      <c r="M136" s="2" t="n">
        <v>0.8318074706893694</v>
      </c>
      <c r="N136" s="2" t="n">
        <v>1.4972557147583694</v>
      </c>
      <c r="O136" s="2" t="n">
        <v>5.198875</v>
      </c>
      <c r="P136" s="2" t="n">
        <v>4.324463064180196</v>
      </c>
      <c r="Q136" s="2" t="n">
        <v>28.056939</v>
      </c>
      <c r="R136" s="2" t="n">
        <v>19.412699015219125</v>
      </c>
      <c r="S136" s="2" t="n">
        <v>66.03303238509817</v>
      </c>
      <c r="T136" s="2" t="n">
        <v>79.38499558121612</v>
      </c>
      <c r="U136" s="2" t="n">
        <v>0.0005427439047832879</v>
      </c>
      <c r="V136" s="2" t="n">
        <v>7.060064513383704</v>
      </c>
      <c r="W136" s="2" t="n">
        <v>1.6435460088581624e-05</v>
      </c>
      <c r="X136" s="2" t="n">
        <v>322.7788859317038</v>
      </c>
      <c r="Y136" s="2" t="n">
        <v>290.20233228279164</v>
      </c>
      <c r="Z136" s="2" t="n">
        <v>22.392408737412932</v>
      </c>
      <c r="AA136" s="2" t="n">
        <v>330.0478041077326</v>
      </c>
      <c r="AB136" s="2" t="n">
        <v>13.509566234552267</v>
      </c>
      <c r="AC136" s="2" t="n">
        <v>131.06479166690713</v>
      </c>
      <c r="AD136" s="2" t="n">
        <v>0.49903322316085574</v>
      </c>
      <c r="AE136" s="2" t="n">
        <v>335.44133176644146</v>
      </c>
      <c r="AF136" s="2" t="n">
        <v>340.8643012730766</v>
      </c>
      <c r="AG136" s="2" t="n">
        <v>322.7498644992084</v>
      </c>
      <c r="AH136" s="2" t="n">
        <v>18.114436773868192</v>
      </c>
      <c r="AI136" s="2" t="n">
        <v>4.664881472482559</v>
      </c>
      <c r="AJ136" s="2" t="n">
        <v>340.5000696516944</v>
      </c>
      <c r="AK136" s="2" t="n">
        <v>340.6509120916451</v>
      </c>
      <c r="AL136" s="2" t="n">
        <v>340.7979482540403</v>
      </c>
      <c r="AM136" s="2" t="n">
        <v>12675502502.189154</v>
      </c>
      <c r="AN136" s="2" t="n">
        <v>12660950024.149027</v>
      </c>
      <c r="AO136" s="2" t="n">
        <v>335.53767919628507</v>
      </c>
      <c r="AP136" s="2" t="n">
        <v>170.42725177193964</v>
      </c>
      <c r="AQ136" s="2" t="n">
        <v>5.132491807025699</v>
      </c>
      <c r="AR136" s="2" t="n">
        <v>29.46903560773557</v>
      </c>
      <c r="AS136" s="2" t="n">
        <v>4.760724476935258</v>
      </c>
      <c r="AT136" s="2" t="n">
        <v>2.2527601081542956</v>
      </c>
      <c r="AU136" s="2" t="n">
        <v>302.43647801271453</v>
      </c>
      <c r="AV136" s="2" t="n">
        <v>161.37733803918024</v>
      </c>
      <c r="AW136" s="2" t="n">
        <v>0.0001204532825936144</v>
      </c>
      <c r="AX136" s="2" t="n">
        <v>634</v>
      </c>
      <c r="AY136" s="2" t="n">
        <v>9.983653512790625e-07</v>
      </c>
      <c r="AZ136" s="2" t="s">
        <v>131</v>
      </c>
      <c r="BA136" s="2" t="n">
        <v>4.48</v>
      </c>
      <c r="BB136" s="2" t="s">
        <v>132</v>
      </c>
      <c r="BC136" s="2" t="n">
        <v>4</v>
      </c>
      <c r="BD136" s="2" t="s">
        <v>133</v>
      </c>
      <c r="BE136" s="2" t="n">
        <v>3000</v>
      </c>
      <c r="BF136" s="2" t="s">
        <v>134</v>
      </c>
      <c r="BG136" s="2" t="n">
        <v>120</v>
      </c>
    </row>
    <row r="137" customFormat="false" ht="15" hidden="false" customHeight="false" outlineLevel="0" collapsed="false">
      <c r="A137" s="2" t="s">
        <v>269</v>
      </c>
      <c r="B137" s="2" t="s">
        <v>128</v>
      </c>
      <c r="C137" s="2" t="s">
        <v>129</v>
      </c>
      <c r="D137" s="2" t="s">
        <v>130</v>
      </c>
      <c r="E137" s="2" t="n">
        <v>1</v>
      </c>
      <c r="F137" s="2" t="n">
        <v>512.7672286370617</v>
      </c>
      <c r="G137" s="2" t="n">
        <v>289.05795109154644</v>
      </c>
      <c r="H137" s="2" t="n">
        <v>310.75060399723264</v>
      </c>
      <c r="I137" s="2" t="n">
        <v>2.630155125721741</v>
      </c>
      <c r="J137" s="2" t="n">
        <v>0.0032626303643355213</v>
      </c>
      <c r="K137" s="2" t="n">
        <v>0.00027188586369462675</v>
      </c>
      <c r="L137" s="2" t="n">
        <v>32.39109545207486</v>
      </c>
      <c r="M137" s="2" t="n">
        <v>0.541485984682083</v>
      </c>
      <c r="N137" s="2" t="n">
        <v>0.7104133859549984</v>
      </c>
      <c r="O137" s="2" t="n">
        <v>5.198875</v>
      </c>
      <c r="P137" s="2" t="n">
        <v>2.815117948614064</v>
      </c>
      <c r="Q137" s="2" t="n">
        <v>28.056939</v>
      </c>
      <c r="R137" s="2" t="n">
        <v>8.226492922449738</v>
      </c>
      <c r="S137" s="2" t="n">
        <v>53.389844885633835</v>
      </c>
      <c r="T137" s="2" t="n">
        <v>98.59875674710223</v>
      </c>
      <c r="U137" s="2" t="n">
        <v>0.0009436198240011654</v>
      </c>
      <c r="V137" s="2" t="n">
        <v>57.59251289295211</v>
      </c>
      <c r="W137" s="2" t="n">
        <v>0.0001884684867832804</v>
      </c>
      <c r="X137" s="2" t="n">
        <v>332.7382440331898</v>
      </c>
      <c r="Y137" s="2" t="n">
        <v>302.382776116911</v>
      </c>
      <c r="Z137" s="2" t="n">
        <v>15.694589477742614</v>
      </c>
      <c r="AA137" s="2" t="n">
        <v>302.2293805052256</v>
      </c>
      <c r="AB137" s="2" t="n">
        <v>13.171429413679164</v>
      </c>
      <c r="AC137" s="2" t="n">
        <v>179.6292531855055</v>
      </c>
      <c r="AD137" s="2" t="n">
        <v>0.6634724294222433</v>
      </c>
      <c r="AE137" s="2" t="n">
        <v>305.1891434805696</v>
      </c>
      <c r="AF137" s="2" t="n">
        <v>309.34231096730775</v>
      </c>
      <c r="AG137" s="2" t="n">
        <v>295.0966884357376</v>
      </c>
      <c r="AH137" s="2" t="n">
        <v>14.245622531570177</v>
      </c>
      <c r="AI137" s="2" t="n">
        <v>3.5086974164817244</v>
      </c>
      <c r="AJ137" s="2" t="n">
        <v>308.9806596817905</v>
      </c>
      <c r="AK137" s="2" t="n">
        <v>309.1274112538945</v>
      </c>
      <c r="AL137" s="2" t="n">
        <v>309.27387199113616</v>
      </c>
      <c r="AM137" s="2" t="n">
        <v>8681968853.105268</v>
      </c>
      <c r="AN137" s="2" t="n">
        <v>8675136589.397457</v>
      </c>
      <c r="AO137" s="2" t="n">
        <v>305.2492150757267</v>
      </c>
      <c r="AP137" s="2" t="n">
        <v>175.68579284952423</v>
      </c>
      <c r="AQ137" s="2" t="n">
        <v>-0.41244343819033996</v>
      </c>
      <c r="AR137" s="2" t="n">
        <v>-2.7311453442017144</v>
      </c>
      <c r="AS137" s="2" t="n">
        <v>-0.8000710244406175</v>
      </c>
      <c r="AT137" s="2" t="n">
        <v>1.3429340829400886</v>
      </c>
      <c r="AU137" s="2" t="n">
        <v>308.24798306614076</v>
      </c>
      <c r="AV137" s="2" t="n">
        <v>167.84836301526371</v>
      </c>
      <c r="AW137" s="2" t="n">
        <v>0.00011232795505573205</v>
      </c>
      <c r="AX137" s="2" t="n">
        <v>386</v>
      </c>
      <c r="AY137" s="2" t="n">
        <v>9.897967174765654e-07</v>
      </c>
      <c r="AZ137" s="2" t="s">
        <v>131</v>
      </c>
      <c r="BA137" s="2" t="n">
        <v>4.48</v>
      </c>
      <c r="BB137" s="2" t="s">
        <v>132</v>
      </c>
      <c r="BC137" s="2" t="n">
        <v>4</v>
      </c>
      <c r="BD137" s="2" t="s">
        <v>133</v>
      </c>
      <c r="BE137" s="2" t="n">
        <v>3000</v>
      </c>
      <c r="BF137" s="2" t="s">
        <v>134</v>
      </c>
      <c r="BG137" s="2" t="n">
        <v>120</v>
      </c>
    </row>
    <row r="138" customFormat="false" ht="15" hidden="false" customHeight="false" outlineLevel="0" collapsed="false">
      <c r="A138" s="2" t="s">
        <v>270</v>
      </c>
      <c r="B138" s="2" t="s">
        <v>128</v>
      </c>
      <c r="C138" s="2" t="s">
        <v>129</v>
      </c>
      <c r="D138" s="2" t="s">
        <v>130</v>
      </c>
      <c r="E138" s="2" t="n">
        <v>1</v>
      </c>
      <c r="F138" s="2" t="n">
        <v>724.0185454566672</v>
      </c>
      <c r="G138" s="2" t="n">
        <v>295.816667802404</v>
      </c>
      <c r="H138" s="2" t="n">
        <v>286.20166899726655</v>
      </c>
      <c r="I138" s="2" t="n">
        <v>1.6060203007114353</v>
      </c>
      <c r="J138" s="2" t="n">
        <v>0.0013265930080306034</v>
      </c>
      <c r="K138" s="2" t="n">
        <v>0.00011054941733588361</v>
      </c>
      <c r="L138" s="2" t="n">
        <v>21.100425425378255</v>
      </c>
      <c r="M138" s="2" t="n">
        <v>0.8702470184499866</v>
      </c>
      <c r="N138" s="2" t="n">
        <v>1.3129929180411435</v>
      </c>
      <c r="O138" s="2" t="n">
        <v>5.198875</v>
      </c>
      <c r="P138" s="2" t="n">
        <v>4.524305468044175</v>
      </c>
      <c r="Q138" s="2" t="n">
        <v>28.056939</v>
      </c>
      <c r="R138" s="2" t="n">
        <v>21.2483580530362</v>
      </c>
      <c r="S138" s="2" t="n">
        <v>30.679838625158776</v>
      </c>
      <c r="T138" s="2" t="n">
        <v>35.254172636871786</v>
      </c>
      <c r="U138" s="2" t="n">
        <v>0.000667686314451823</v>
      </c>
      <c r="V138" s="2" t="n">
        <v>4.66870636728672</v>
      </c>
      <c r="W138" s="2" t="n">
        <v>6.212109552046661e-06</v>
      </c>
      <c r="X138" s="2" t="n">
        <v>469.82070227664946</v>
      </c>
      <c r="Y138" s="2" t="n">
        <v>267.26821969998633</v>
      </c>
      <c r="Z138" s="2" t="n">
        <v>11.802877142703455</v>
      </c>
      <c r="AA138" s="2" t="n">
        <v>327.7899940125147</v>
      </c>
      <c r="AB138" s="2" t="n">
        <v>31.973326210110656</v>
      </c>
      <c r="AC138" s="2" t="n">
        <v>177.29717035414433</v>
      </c>
      <c r="AD138" s="2" t="n">
        <v>0.46378659424518115</v>
      </c>
      <c r="AE138" s="2" t="n">
        <v>347.45941576768826</v>
      </c>
      <c r="AF138" s="2" t="n">
        <v>362.5686293681427</v>
      </c>
      <c r="AG138" s="2" t="n">
        <v>311.9861186366852</v>
      </c>
      <c r="AH138" s="2" t="n">
        <v>50.58251073145749</v>
      </c>
      <c r="AI138" s="2" t="n">
        <v>13.302976736549097</v>
      </c>
      <c r="AJ138" s="2" t="n">
        <v>361.82971343068675</v>
      </c>
      <c r="AK138" s="2" t="n">
        <v>362.15152881349144</v>
      </c>
      <c r="AL138" s="2" t="n">
        <v>362.4505134704126</v>
      </c>
      <c r="AM138" s="2" t="n">
        <v>14700724626.134373</v>
      </c>
      <c r="AN138" s="2" t="n">
        <v>14575260995.753447</v>
      </c>
      <c r="AO138" s="2" t="n">
        <v>348.2047455173581</v>
      </c>
      <c r="AP138" s="2" t="n">
        <v>248.06533080207092</v>
      </c>
      <c r="AQ138" s="2" t="n">
        <v>9.263425243296862</v>
      </c>
      <c r="AR138" s="2" t="n">
        <v>52.69199991127004</v>
      </c>
      <c r="AS138" s="2" t="n">
        <v>8.812531899973221</v>
      </c>
      <c r="AT138" s="2" t="n">
        <v>2.1879780758385383</v>
      </c>
      <c r="AU138" s="2" t="n">
        <v>288.4452093236078</v>
      </c>
      <c r="AV138" s="2" t="n">
        <v>275.2134948617887</v>
      </c>
      <c r="AW138" s="2" t="n">
        <v>8.23677450537945e-05</v>
      </c>
      <c r="AX138" s="2" t="n">
        <v>1260</v>
      </c>
      <c r="AY138" s="2" t="n">
        <v>9.89956561170402e-07</v>
      </c>
      <c r="AZ138" s="2" t="s">
        <v>131</v>
      </c>
      <c r="BA138" s="2" t="n">
        <v>4.48</v>
      </c>
      <c r="BB138" s="2" t="s">
        <v>132</v>
      </c>
      <c r="BC138" s="2" t="n">
        <v>4</v>
      </c>
      <c r="BD138" s="2" t="s">
        <v>133</v>
      </c>
      <c r="BE138" s="2" t="n">
        <v>3000</v>
      </c>
      <c r="BF138" s="2" t="s">
        <v>134</v>
      </c>
      <c r="BG138" s="2" t="n">
        <v>120</v>
      </c>
    </row>
    <row r="139" customFormat="false" ht="15" hidden="false" customHeight="false" outlineLevel="0" collapsed="false">
      <c r="A139" s="2" t="s">
        <v>271</v>
      </c>
      <c r="B139" s="2" t="s">
        <v>128</v>
      </c>
      <c r="C139" s="2" t="s">
        <v>129</v>
      </c>
      <c r="D139" s="2" t="s">
        <v>130</v>
      </c>
      <c r="E139" s="2" t="n">
        <v>1</v>
      </c>
      <c r="F139" s="2" t="n">
        <v>771.9648122737694</v>
      </c>
      <c r="G139" s="2" t="n">
        <v>308.10699978601343</v>
      </c>
      <c r="H139" s="2" t="n">
        <v>302.7461673178407</v>
      </c>
      <c r="I139" s="2" t="n">
        <v>1.1012360377775834</v>
      </c>
      <c r="J139" s="2" t="n">
        <v>0.0036785720384008656</v>
      </c>
      <c r="K139" s="2" t="n">
        <v>0.0003065476698667388</v>
      </c>
      <c r="L139" s="2" t="n">
        <v>29.551733683682187</v>
      </c>
      <c r="M139" s="2" t="n">
        <v>0.36432712210315144</v>
      </c>
      <c r="N139" s="2" t="n">
        <v>1.7557206517172095</v>
      </c>
      <c r="O139" s="2" t="n">
        <v>5.198875</v>
      </c>
      <c r="P139" s="2" t="n">
        <v>1.8940911669240215</v>
      </c>
      <c r="Q139" s="2" t="n">
        <v>28.056939</v>
      </c>
      <c r="R139" s="2" t="n">
        <v>3.7241168087679415</v>
      </c>
      <c r="S139" s="2" t="n">
        <v>91.58338116502445</v>
      </c>
      <c r="T139" s="2" t="n">
        <v>251.37678643396347</v>
      </c>
      <c r="U139" s="2" t="n">
        <v>0.0006202266650956347</v>
      </c>
      <c r="V139" s="2" t="n">
        <v>65.0936355415428</v>
      </c>
      <c r="W139" s="2" t="n">
        <v>0.00024017214401301514</v>
      </c>
      <c r="X139" s="2" t="n">
        <v>500.93337043813483</v>
      </c>
      <c r="Y139" s="2" t="n">
        <v>290.7749960057934</v>
      </c>
      <c r="Z139" s="2" t="n">
        <v>9.884696943554816</v>
      </c>
      <c r="AA139" s="2" t="n">
        <v>323.4221951754129</v>
      </c>
      <c r="AB139" s="2" t="n">
        <v>15.315195389399491</v>
      </c>
      <c r="AC139" s="2" t="n">
        <v>235.4930470023396</v>
      </c>
      <c r="AD139" s="2" t="n">
        <v>0.5777589232375264</v>
      </c>
      <c r="AE139" s="2" t="n">
        <v>326.41722003561756</v>
      </c>
      <c r="AF139" s="2" t="n">
        <v>331.0936466634519</v>
      </c>
      <c r="AG139" s="2" t="n">
        <v>314.9479209547385</v>
      </c>
      <c r="AH139" s="2" t="n">
        <v>16.145725708713428</v>
      </c>
      <c r="AI139" s="2" t="n">
        <v>3.920465068008544</v>
      </c>
      <c r="AJ139" s="2" t="n">
        <v>330.6437809918836</v>
      </c>
      <c r="AK139" s="2" t="n">
        <v>330.8296517518482</v>
      </c>
      <c r="AL139" s="2" t="n">
        <v>331.0092453483517</v>
      </c>
      <c r="AM139" s="2" t="n">
        <v>11362276883.221182</v>
      </c>
      <c r="AN139" s="2" t="n">
        <v>11352519250.509363</v>
      </c>
      <c r="AO139" s="2" t="n">
        <v>326.4873373635131</v>
      </c>
      <c r="AP139" s="2" t="n">
        <v>264.4928195913352</v>
      </c>
      <c r="AQ139" s="2" t="n">
        <v>3.647069000499618</v>
      </c>
      <c r="AR139" s="2" t="n">
        <v>21.947177005798522</v>
      </c>
      <c r="AS139" s="2" t="n">
        <v>3.4053147263666714</v>
      </c>
      <c r="AT139" s="2" t="n">
        <v>2.320294427815406</v>
      </c>
      <c r="AU139" s="2" t="n">
        <v>301.8367289389427</v>
      </c>
      <c r="AV139" s="2" t="n">
        <v>207.94303420081297</v>
      </c>
      <c r="AW139" s="2" t="n">
        <v>7.835590242223303e-05</v>
      </c>
      <c r="AX139" s="2" t="n">
        <v>364</v>
      </c>
      <c r="AY139" s="2" t="n">
        <v>9.897761401589378e-07</v>
      </c>
      <c r="AZ139" s="2" t="s">
        <v>131</v>
      </c>
      <c r="BA139" s="2" t="n">
        <v>4.48</v>
      </c>
      <c r="BB139" s="2" t="s">
        <v>132</v>
      </c>
      <c r="BC139" s="2" t="n">
        <v>4</v>
      </c>
      <c r="BD139" s="2" t="s">
        <v>133</v>
      </c>
      <c r="BE139" s="2" t="n">
        <v>3000</v>
      </c>
      <c r="BF139" s="2" t="s">
        <v>134</v>
      </c>
      <c r="BG139" s="2" t="n">
        <v>120</v>
      </c>
    </row>
    <row r="140" customFormat="false" ht="15" hidden="false" customHeight="false" outlineLevel="0" collapsed="false">
      <c r="A140" s="2" t="s">
        <v>272</v>
      </c>
      <c r="B140" s="2" t="s">
        <v>128</v>
      </c>
      <c r="C140" s="2" t="s">
        <v>129</v>
      </c>
      <c r="D140" s="2" t="s">
        <v>130</v>
      </c>
      <c r="E140" s="2" t="n">
        <v>1</v>
      </c>
      <c r="F140" s="2" t="n">
        <v>964.3669342866937</v>
      </c>
      <c r="G140" s="2" t="n">
        <v>310.29552170572555</v>
      </c>
      <c r="H140" s="2" t="n">
        <v>300.084705948921</v>
      </c>
      <c r="I140" s="2" t="n">
        <v>4.789034712805184</v>
      </c>
      <c r="J140" s="2" t="n">
        <v>0.0011537595141245286</v>
      </c>
      <c r="K140" s="2" t="n">
        <v>9.614662617704405e-05</v>
      </c>
      <c r="L140" s="2" t="n">
        <v>23.555094704368358</v>
      </c>
      <c r="M140" s="2" t="n">
        <v>0.8514957227729875</v>
      </c>
      <c r="N140" s="2" t="n">
        <v>1.4263689926189884</v>
      </c>
      <c r="O140" s="2" t="n">
        <v>5.198875</v>
      </c>
      <c r="P140" s="2" t="n">
        <v>4.426819825731416</v>
      </c>
      <c r="Q140" s="2" t="n">
        <v>28.056939</v>
      </c>
      <c r="R140" s="2" t="n">
        <v>20.3425423805328</v>
      </c>
      <c r="S140" s="2" t="n">
        <v>38.87302208854423</v>
      </c>
      <c r="T140" s="2" t="n">
        <v>45.65263341775817</v>
      </c>
      <c r="U140" s="2" t="n">
        <v>0.0004583052495096626</v>
      </c>
      <c r="V140" s="2" t="n">
        <v>2.8655263707419905</v>
      </c>
      <c r="W140" s="2" t="n">
        <v>3.3160765428468434e-06</v>
      </c>
      <c r="X140" s="2" t="n">
        <v>625.7844542271754</v>
      </c>
      <c r="Y140" s="2" t="n">
        <v>286.9491023340601</v>
      </c>
      <c r="Z140" s="2" t="n">
        <v>23.898331908659696</v>
      </c>
      <c r="AA140" s="2" t="n">
        <v>357.1483126810623</v>
      </c>
      <c r="AB140" s="2" t="n">
        <v>46.852790975336745</v>
      </c>
      <c r="AC140" s="2" t="n">
        <v>225.95764700752537</v>
      </c>
      <c r="AD140" s="2" t="n">
        <v>0.4437627150146358</v>
      </c>
      <c r="AE140" s="2" t="n">
        <v>387.49163298148517</v>
      </c>
      <c r="AF140" s="2" t="n">
        <v>409.3106641788927</v>
      </c>
      <c r="AG140" s="2" t="n">
        <v>335.11892707672746</v>
      </c>
      <c r="AH140" s="2" t="n">
        <v>74.19173710216523</v>
      </c>
      <c r="AI140" s="2" t="n">
        <v>19.468339879352616</v>
      </c>
      <c r="AJ140" s="2" t="n">
        <v>408.38591458624137</v>
      </c>
      <c r="AK140" s="2" t="n">
        <v>408.8123460030028</v>
      </c>
      <c r="AL140" s="2" t="n">
        <v>409.1670577694565</v>
      </c>
      <c r="AM140" s="2" t="n">
        <v>22877361349.173447</v>
      </c>
      <c r="AN140" s="2" t="n">
        <v>22544952118.94154</v>
      </c>
      <c r="AO140" s="2" t="n">
        <v>388.9121247796987</v>
      </c>
      <c r="AP140" s="2" t="n">
        <v>330.41419183194864</v>
      </c>
      <c r="AQ140" s="2" t="n">
        <v>17.108811016616155</v>
      </c>
      <c r="AR140" s="2" t="n">
        <v>74.77317141344717</v>
      </c>
      <c r="AS140" s="2" t="n">
        <v>12.574349749426801</v>
      </c>
      <c r="AT140" s="2" t="n">
        <v>2.2633717019254824</v>
      </c>
      <c r="AU140" s="2" t="n">
        <v>303.7468637242458</v>
      </c>
      <c r="AV140" s="2" t="n">
        <v>358.0344564614036</v>
      </c>
      <c r="AW140" s="2" t="n">
        <v>6.405985810705242e-05</v>
      </c>
      <c r="AX140" s="2" t="n">
        <v>1431</v>
      </c>
      <c r="AY140" s="2" t="n">
        <v>9.975950092666608e-07</v>
      </c>
      <c r="AZ140" s="2" t="s">
        <v>131</v>
      </c>
      <c r="BA140" s="2" t="n">
        <v>4.48</v>
      </c>
      <c r="BB140" s="2" t="s">
        <v>132</v>
      </c>
      <c r="BC140" s="2" t="n">
        <v>4</v>
      </c>
      <c r="BD140" s="2" t="s">
        <v>133</v>
      </c>
      <c r="BE140" s="2" t="n">
        <v>3000</v>
      </c>
      <c r="BF140" s="2" t="s">
        <v>134</v>
      </c>
      <c r="BG140" s="2" t="n">
        <v>120</v>
      </c>
    </row>
    <row r="141" customFormat="false" ht="15" hidden="false" customHeight="false" outlineLevel="0" collapsed="false">
      <c r="A141" s="2" t="s">
        <v>273</v>
      </c>
      <c r="B141" s="2" t="s">
        <v>128</v>
      </c>
      <c r="C141" s="2" t="s">
        <v>129</v>
      </c>
      <c r="D141" s="2" t="s">
        <v>130</v>
      </c>
      <c r="E141" s="2" t="n">
        <v>1</v>
      </c>
      <c r="F141" s="2" t="n">
        <v>489.37594650724657</v>
      </c>
      <c r="G141" s="2" t="n">
        <v>318.91704476479686</v>
      </c>
      <c r="H141" s="2" t="n">
        <v>289.375923519637</v>
      </c>
      <c r="I141" s="2" t="n">
        <v>2.591480801150773</v>
      </c>
      <c r="J141" s="2" t="n">
        <v>0.0024320084678531133</v>
      </c>
      <c r="K141" s="2" t="n">
        <v>0.00020266737232109278</v>
      </c>
      <c r="L141" s="2" t="n">
        <v>35.03310659277919</v>
      </c>
      <c r="M141" s="2" t="n">
        <v>0.3935720018990992</v>
      </c>
      <c r="N141" s="2" t="n">
        <v>0.7857746436346298</v>
      </c>
      <c r="O141" s="2" t="n">
        <v>5.198875</v>
      </c>
      <c r="P141" s="2" t="n">
        <v>2.046131641373179</v>
      </c>
      <c r="Q141" s="2" t="n">
        <v>28.056939</v>
      </c>
      <c r="R141" s="2" t="n">
        <v>4.345989568652739</v>
      </c>
      <c r="S141" s="2" t="n">
        <v>70.68731708991834</v>
      </c>
      <c r="T141" s="2" t="n">
        <v>179.60453677810287</v>
      </c>
      <c r="U141" s="2" t="n">
        <v>0.0005312652697096072</v>
      </c>
      <c r="V141" s="2" t="n">
        <v>52.67643605225409</v>
      </c>
      <c r="W141" s="2" t="n">
        <v>0.00012849502360622365</v>
      </c>
      <c r="X141" s="2" t="n">
        <v>317.5594773201778</v>
      </c>
      <c r="Y141" s="2" t="n">
        <v>271.7269219850008</v>
      </c>
      <c r="Z141" s="2" t="n">
        <v>15.547627044372938</v>
      </c>
      <c r="AA141" s="2" t="n">
        <v>330.209166482628</v>
      </c>
      <c r="AB141" s="2" t="n">
        <v>11.29212171783115</v>
      </c>
      <c r="AC141" s="2" t="n">
        <v>114.79339896597642</v>
      </c>
      <c r="AD141" s="2" t="n">
        <v>0.4442632336500523</v>
      </c>
      <c r="AE141" s="2" t="n">
        <v>334.51541105181</v>
      </c>
      <c r="AF141" s="2" t="n">
        <v>338.95530776983463</v>
      </c>
      <c r="AG141" s="2" t="n">
        <v>324.10225779816784</v>
      </c>
      <c r="AH141" s="2" t="n">
        <v>14.853049971666792</v>
      </c>
      <c r="AI141" s="2" t="n">
        <v>3.81745535670083</v>
      </c>
      <c r="AJ141" s="2" t="n">
        <v>338.6575696686429</v>
      </c>
      <c r="AK141" s="2" t="n">
        <v>338.7798225153796</v>
      </c>
      <c r="AL141" s="2" t="n">
        <v>338.9021015587254</v>
      </c>
      <c r="AM141" s="2" t="n">
        <v>12531438675.87908</v>
      </c>
      <c r="AN141" s="2" t="n">
        <v>12521735380.047785</v>
      </c>
      <c r="AO141" s="2" t="n">
        <v>334.58019758264896</v>
      </c>
      <c r="AP141" s="2" t="n">
        <v>167.67140402505387</v>
      </c>
      <c r="AQ141" s="2" t="n">
        <v>6.517271575541033</v>
      </c>
      <c r="AR141" s="2" t="n">
        <v>39.866771554822954</v>
      </c>
      <c r="AS141" s="2" t="n">
        <v>6.493761112640109</v>
      </c>
      <c r="AT141" s="2" t="n">
        <v>2.2186281309226965</v>
      </c>
      <c r="AU141" s="2" t="n">
        <v>289.86525750369816</v>
      </c>
      <c r="AV141" s="2" t="n">
        <v>137.99794596840817</v>
      </c>
      <c r="AW141" s="2" t="n">
        <v>0.00012131593932313791</v>
      </c>
      <c r="AX141" s="2" t="n">
        <v>577</v>
      </c>
      <c r="AY141" s="2" t="n">
        <v>9.876219451143697e-07</v>
      </c>
      <c r="AZ141" s="2" t="s">
        <v>131</v>
      </c>
      <c r="BA141" s="2" t="n">
        <v>4.48</v>
      </c>
      <c r="BB141" s="2" t="s">
        <v>132</v>
      </c>
      <c r="BC141" s="2" t="n">
        <v>4</v>
      </c>
      <c r="BD141" s="2" t="s">
        <v>133</v>
      </c>
      <c r="BE141" s="2" t="n">
        <v>3000</v>
      </c>
      <c r="BF141" s="2" t="s">
        <v>134</v>
      </c>
      <c r="BG141" s="2" t="n">
        <v>120</v>
      </c>
    </row>
    <row r="142" customFormat="false" ht="15" hidden="false" customHeight="false" outlineLevel="0" collapsed="false">
      <c r="A142" s="2" t="s">
        <v>274</v>
      </c>
      <c r="B142" s="2" t="s">
        <v>128</v>
      </c>
      <c r="C142" s="2" t="s">
        <v>129</v>
      </c>
      <c r="D142" s="2" t="s">
        <v>130</v>
      </c>
      <c r="E142" s="2" t="n">
        <v>1</v>
      </c>
      <c r="F142" s="2" t="n">
        <v>453.78172839484415</v>
      </c>
      <c r="G142" s="2" t="n">
        <v>325.3824531857089</v>
      </c>
      <c r="H142" s="2" t="n">
        <v>307.607754746523</v>
      </c>
      <c r="I142" s="2" t="n">
        <v>3.817607752704287</v>
      </c>
      <c r="J142" s="2" t="n">
        <v>0.0022634074713965835</v>
      </c>
      <c r="K142" s="2" t="n">
        <v>0.00018861728928304863</v>
      </c>
      <c r="L142" s="2" t="n">
        <v>33.441531442239665</v>
      </c>
      <c r="M142" s="2" t="n">
        <v>0.6507444036450125</v>
      </c>
      <c r="N142" s="2" t="n">
        <v>1.8245514457951626</v>
      </c>
      <c r="O142" s="2" t="n">
        <v>5.198875</v>
      </c>
      <c r="P142" s="2" t="n">
        <v>3.3831388114999648</v>
      </c>
      <c r="Q142" s="2" t="n">
        <v>28.056939</v>
      </c>
      <c r="R142" s="2" t="n">
        <v>11.881223668839363</v>
      </c>
      <c r="S142" s="2" t="n">
        <v>73.48967698257411</v>
      </c>
      <c r="T142" s="2" t="n">
        <v>112.93170801152743</v>
      </c>
      <c r="U142" s="2" t="n">
        <v>0.00047558072893578535</v>
      </c>
      <c r="V142" s="2" t="n">
        <v>8.866953885746266</v>
      </c>
      <c r="W142" s="2" t="n">
        <v>2.0129919431822533e-05</v>
      </c>
      <c r="X142" s="2" t="n">
        <v>294.4621400275131</v>
      </c>
      <c r="Y142" s="2" t="n">
        <v>297.8070656138325</v>
      </c>
      <c r="Z142" s="2" t="n">
        <v>20.20690946027629</v>
      </c>
      <c r="AA142" s="2" t="n">
        <v>337.4522511362785</v>
      </c>
      <c r="AB142" s="2" t="n">
        <v>12.06979795056958</v>
      </c>
      <c r="AC142" s="2" t="n">
        <v>114.19288019298737</v>
      </c>
      <c r="AD142" s="2" t="n">
        <v>0.47660445710303223</v>
      </c>
      <c r="AE142" s="2" t="n">
        <v>342.45094542639345</v>
      </c>
      <c r="AF142" s="2" t="n">
        <v>347.37573083341465</v>
      </c>
      <c r="AG142" s="2" t="n">
        <v>330.8866318404725</v>
      </c>
      <c r="AH142" s="2" t="n">
        <v>16.48909899294216</v>
      </c>
      <c r="AI142" s="2" t="n">
        <v>4.2421747781825445</v>
      </c>
      <c r="AJ142" s="2" t="n">
        <v>347.04715148763256</v>
      </c>
      <c r="AK142" s="2" t="n">
        <v>347.1826234921482</v>
      </c>
      <c r="AL142" s="2" t="n">
        <v>347.3159644814234</v>
      </c>
      <c r="AM142" s="2" t="n">
        <v>13765423366.48353</v>
      </c>
      <c r="AN142" s="2" t="n">
        <v>13752874443.51806</v>
      </c>
      <c r="AO142" s="2" t="n">
        <v>342.52903675354617</v>
      </c>
      <c r="AP142" s="2" t="n">
        <v>155.47600993452693</v>
      </c>
      <c r="AQ142" s="2" t="n">
        <v>5.654435123125756</v>
      </c>
      <c r="AR142" s="2" t="n">
        <v>30.61595041646603</v>
      </c>
      <c r="AS142" s="2" t="n">
        <v>5.012537116554033</v>
      </c>
      <c r="AT142" s="2" t="n">
        <v>2.243989261516839</v>
      </c>
      <c r="AU142" s="2" t="n">
        <v>308.1615652282314</v>
      </c>
      <c r="AV142" s="2" t="n">
        <v>143.272959214191</v>
      </c>
      <c r="AW142" s="2" t="n">
        <v>0.0001325749183895866</v>
      </c>
      <c r="AX142" s="2" t="n">
        <v>643</v>
      </c>
      <c r="AY142" s="2" t="n">
        <v>9.948778938451142e-07</v>
      </c>
      <c r="AZ142" s="2" t="s">
        <v>131</v>
      </c>
      <c r="BA142" s="2" t="n">
        <v>4.48</v>
      </c>
      <c r="BB142" s="2" t="s">
        <v>132</v>
      </c>
      <c r="BC142" s="2" t="n">
        <v>4</v>
      </c>
      <c r="BD142" s="2" t="s">
        <v>133</v>
      </c>
      <c r="BE142" s="2" t="n">
        <v>3000</v>
      </c>
      <c r="BF142" s="2" t="s">
        <v>134</v>
      </c>
      <c r="BG142" s="2" t="n">
        <v>120</v>
      </c>
    </row>
    <row r="143" customFormat="false" ht="15" hidden="false" customHeight="false" outlineLevel="0" collapsed="false">
      <c r="A143" s="2" t="s">
        <v>275</v>
      </c>
      <c r="B143" s="2" t="s">
        <v>128</v>
      </c>
      <c r="C143" s="2" t="s">
        <v>129</v>
      </c>
      <c r="D143" s="2" t="s">
        <v>130</v>
      </c>
      <c r="E143" s="2" t="n">
        <v>1</v>
      </c>
      <c r="F143" s="2" t="n">
        <v>974.350433603194</v>
      </c>
      <c r="G143" s="2" t="n">
        <v>312.77803776697374</v>
      </c>
      <c r="H143" s="2" t="n">
        <v>293.49422895164815</v>
      </c>
      <c r="I143" s="2" t="n">
        <v>0.3018476422721085</v>
      </c>
      <c r="J143" s="2" t="n">
        <v>0.002905525428927119</v>
      </c>
      <c r="K143" s="2" t="n">
        <v>0.00024212711907725993</v>
      </c>
      <c r="L143" s="2" t="n">
        <v>22.32385431359204</v>
      </c>
      <c r="M143" s="2" t="n">
        <v>0.4404149576507096</v>
      </c>
      <c r="N143" s="2" t="n">
        <v>1.9544694929816675</v>
      </c>
      <c r="O143" s="2" t="n">
        <v>5.198875</v>
      </c>
      <c r="P143" s="2" t="n">
        <v>2.289662312956333</v>
      </c>
      <c r="Q143" s="2" t="n">
        <v>28.056939</v>
      </c>
      <c r="R143" s="2" t="n">
        <v>5.442073570034489</v>
      </c>
      <c r="S143" s="2" t="n">
        <v>83.9236069376854</v>
      </c>
      <c r="T143" s="2" t="n">
        <v>190.55575992549439</v>
      </c>
      <c r="U143" s="2" t="n">
        <v>0.0005345992943835982</v>
      </c>
      <c r="V143" s="2" t="n">
        <v>26.866724529632705</v>
      </c>
      <c r="W143" s="2" t="n">
        <v>7.829684183834283e-05</v>
      </c>
      <c r="X143" s="2" t="n">
        <v>632.2628168181477</v>
      </c>
      <c r="Y143" s="2" t="n">
        <v>277.5482074470048</v>
      </c>
      <c r="Z143" s="2" t="n">
        <v>6.847021040634012</v>
      </c>
      <c r="AA143" s="2" t="n">
        <v>335.5981384344135</v>
      </c>
      <c r="AB143" s="2" t="n">
        <v>22.82010066743976</v>
      </c>
      <c r="AC143" s="2" t="n">
        <v>277.1523200200779</v>
      </c>
      <c r="AD143" s="2" t="n">
        <v>0.5387278323124284</v>
      </c>
      <c r="AE143" s="2" t="n">
        <v>342.47492910381635</v>
      </c>
      <c r="AF143" s="2" t="n">
        <v>350.86071216184183</v>
      </c>
      <c r="AG143" s="2" t="n">
        <v>322.58300648584225</v>
      </c>
      <c r="AH143" s="2" t="n">
        <v>28.277705675999584</v>
      </c>
      <c r="AI143" s="2" t="n">
        <v>7.061666221321492</v>
      </c>
      <c r="AJ143" s="2" t="n">
        <v>350.0917829646981</v>
      </c>
      <c r="AK143" s="2" t="n">
        <v>350.416157596769</v>
      </c>
      <c r="AL143" s="2" t="n">
        <v>350.7217139775853</v>
      </c>
      <c r="AM143" s="2" t="n">
        <v>13791418920.199877</v>
      </c>
      <c r="AN143" s="2" t="n">
        <v>13756727598.680698</v>
      </c>
      <c r="AO143" s="2" t="n">
        <v>342.69063609048374</v>
      </c>
      <c r="AP143" s="2" t="n">
        <v>333.83476727998203</v>
      </c>
      <c r="AQ143" s="2" t="n">
        <v>7.3864593269547445</v>
      </c>
      <c r="AR143" s="2" t="n">
        <v>42.24943110519612</v>
      </c>
      <c r="AS143" s="2" t="n">
        <v>7.046357486697901</v>
      </c>
      <c r="AT143" s="2" t="n">
        <v>2.191743267795493</v>
      </c>
      <c r="AU143" s="2" t="n">
        <v>295.1562345470415</v>
      </c>
      <c r="AV143" s="2" t="n">
        <v>298.26681149721844</v>
      </c>
      <c r="AW143" s="2" t="n">
        <v>6.109927654972205e-05</v>
      </c>
      <c r="AX143" s="2" t="n">
        <v>537</v>
      </c>
      <c r="AY143" s="2" t="n">
        <v>9.801867690839572e-07</v>
      </c>
      <c r="AZ143" s="2" t="s">
        <v>131</v>
      </c>
      <c r="BA143" s="2" t="n">
        <v>4.48</v>
      </c>
      <c r="BB143" s="2" t="s">
        <v>132</v>
      </c>
      <c r="BC143" s="2" t="n">
        <v>4</v>
      </c>
      <c r="BD143" s="2" t="s">
        <v>133</v>
      </c>
      <c r="BE143" s="2" t="n">
        <v>3000</v>
      </c>
      <c r="BF143" s="2" t="s">
        <v>134</v>
      </c>
      <c r="BG143" s="2" t="n">
        <v>120</v>
      </c>
    </row>
    <row r="144" customFormat="false" ht="15" hidden="false" customHeight="false" outlineLevel="0" collapsed="false">
      <c r="A144" s="2" t="s">
        <v>276</v>
      </c>
      <c r="B144" s="2" t="s">
        <v>128</v>
      </c>
      <c r="C144" s="2" t="s">
        <v>129</v>
      </c>
      <c r="D144" s="2" t="s">
        <v>130</v>
      </c>
      <c r="E144" s="2" t="n">
        <v>1</v>
      </c>
      <c r="F144" s="2" t="n">
        <v>471.04717476625217</v>
      </c>
      <c r="G144" s="2" t="n">
        <v>313.9931694724667</v>
      </c>
      <c r="H144" s="2" t="n">
        <v>302.8139785172258</v>
      </c>
      <c r="I144" s="2" t="n">
        <v>3.8746762260977627</v>
      </c>
      <c r="J144" s="2" t="n">
        <v>0.002133371264964219</v>
      </c>
      <c r="K144" s="2" t="n">
        <v>0.00017778093874701827</v>
      </c>
      <c r="L144" s="2" t="n">
        <v>35.708188009970776</v>
      </c>
      <c r="M144" s="2" t="n">
        <v>0.39204500301452183</v>
      </c>
      <c r="N144" s="2" t="n">
        <v>1.7400214796517917</v>
      </c>
      <c r="O144" s="2" t="n">
        <v>5.198875</v>
      </c>
      <c r="P144" s="2" t="n">
        <v>2.038192965047122</v>
      </c>
      <c r="Q144" s="2" t="n">
        <v>28.056939</v>
      </c>
      <c r="R144" s="2" t="n">
        <v>4.312331446436185</v>
      </c>
      <c r="S144" s="2" t="n">
        <v>58.30594015784651</v>
      </c>
      <c r="T144" s="2" t="n">
        <v>148.72256937218702</v>
      </c>
      <c r="U144" s="2" t="n">
        <v>0.0005649909353980413</v>
      </c>
      <c r="V144" s="2" t="n">
        <v>29.164247034995867</v>
      </c>
      <c r="W144" s="2" t="n">
        <v>6.240538273698908e-05</v>
      </c>
      <c r="X144" s="2" t="n">
        <v>305.6658090360443</v>
      </c>
      <c r="Y144" s="2" t="n">
        <v>290.8726961955094</v>
      </c>
      <c r="Z144" s="2" t="n">
        <v>20.423769659171498</v>
      </c>
      <c r="AA144" s="2" t="n">
        <v>327.9171771364552</v>
      </c>
      <c r="AB144" s="2" t="n">
        <v>13.924007663988505</v>
      </c>
      <c r="AC144" s="2" t="n">
        <v>124.1672253858076</v>
      </c>
      <c r="AD144" s="2" t="n">
        <v>0.49923916794751755</v>
      </c>
      <c r="AE144" s="2" t="n">
        <v>334.04117762884397</v>
      </c>
      <c r="AF144" s="2" t="n">
        <v>339.8433857455991</v>
      </c>
      <c r="AG144" s="2" t="n">
        <v>320.5478788995118</v>
      </c>
      <c r="AH144" s="2" t="n">
        <v>19.295506846087335</v>
      </c>
      <c r="AI144" s="2" t="n">
        <v>5.01914212866467</v>
      </c>
      <c r="AJ144" s="2" t="n">
        <v>339.49758158196437</v>
      </c>
      <c r="AK144" s="2" t="n">
        <v>339.6395729215359</v>
      </c>
      <c r="AL144" s="2" t="n">
        <v>339.77892867266354</v>
      </c>
      <c r="AM144" s="2" t="n">
        <v>12467571865.813427</v>
      </c>
      <c r="AN144" s="2" t="n">
        <v>12450879336.066076</v>
      </c>
      <c r="AO144" s="2" t="n">
        <v>334.15308119395917</v>
      </c>
      <c r="AP144" s="2" t="n">
        <v>161.39154717103142</v>
      </c>
      <c r="AQ144" s="2" t="n">
        <v>4.836895566221106</v>
      </c>
      <c r="AR144" s="2" t="n">
        <v>27.89488091322067</v>
      </c>
      <c r="AS144" s="2" t="n">
        <v>4.492341015239991</v>
      </c>
      <c r="AT144" s="2" t="n">
        <v>2.257666759984301</v>
      </c>
      <c r="AU144" s="2" t="n">
        <v>302.7993522337569</v>
      </c>
      <c r="AV144" s="2" t="n">
        <v>160.76505164864219</v>
      </c>
      <c r="AW144" s="2" t="n">
        <v>0.00012651356225804145</v>
      </c>
      <c r="AX144" s="2" t="n">
        <v>703</v>
      </c>
      <c r="AY144" s="2" t="n">
        <v>9.977222816814901e-07</v>
      </c>
      <c r="AZ144" s="2" t="s">
        <v>131</v>
      </c>
      <c r="BA144" s="2" t="n">
        <v>4.48</v>
      </c>
      <c r="BB144" s="2" t="s">
        <v>132</v>
      </c>
      <c r="BC144" s="2" t="n">
        <v>4</v>
      </c>
      <c r="BD144" s="2" t="s">
        <v>133</v>
      </c>
      <c r="BE144" s="2" t="n">
        <v>3000</v>
      </c>
      <c r="BF144" s="2" t="s">
        <v>134</v>
      </c>
      <c r="BG144" s="2" t="n">
        <v>120</v>
      </c>
    </row>
    <row r="145" customFormat="false" ht="15" hidden="false" customHeight="false" outlineLevel="0" collapsed="false">
      <c r="A145" s="2" t="s">
        <v>277</v>
      </c>
      <c r="B145" s="2" t="s">
        <v>128</v>
      </c>
      <c r="C145" s="2" t="s">
        <v>129</v>
      </c>
      <c r="D145" s="2" t="s">
        <v>130</v>
      </c>
      <c r="E145" s="2" t="n">
        <v>1</v>
      </c>
      <c r="F145" s="2" t="n">
        <v>711.9071899008263</v>
      </c>
      <c r="G145" s="2" t="n">
        <v>312.90351530616294</v>
      </c>
      <c r="H145" s="2" t="n">
        <v>295.0943705973755</v>
      </c>
      <c r="I145" s="2" t="n">
        <v>2.02917270821585</v>
      </c>
      <c r="J145" s="2" t="n">
        <v>0.0020621752372287127</v>
      </c>
      <c r="K145" s="2" t="n">
        <v>0.00017184793643572606</v>
      </c>
      <c r="L145" s="2" t="n">
        <v>24.2363046799546</v>
      </c>
      <c r="M145" s="2" t="n">
        <v>0.8276627239019959</v>
      </c>
      <c r="N145" s="2" t="n">
        <v>1.8821592418155604</v>
      </c>
      <c r="O145" s="2" t="n">
        <v>5.198875</v>
      </c>
      <c r="P145" s="2" t="n">
        <v>4.302915043725989</v>
      </c>
      <c r="Q145" s="2" t="n">
        <v>28.056939</v>
      </c>
      <c r="R145" s="2" t="n">
        <v>19.219721038790347</v>
      </c>
      <c r="S145" s="2" t="n">
        <v>59.096215547060766</v>
      </c>
      <c r="T145" s="2" t="n">
        <v>71.40132549216797</v>
      </c>
      <c r="U145" s="2" t="n">
        <v>0.0005388324459388638</v>
      </c>
      <c r="V145" s="2" t="n">
        <v>6.03991097250469</v>
      </c>
      <c r="W145" s="2" t="n">
        <v>1.2492833342592942e-05</v>
      </c>
      <c r="X145" s="2" t="n">
        <v>461.96155887697546</v>
      </c>
      <c r="Y145" s="2" t="n">
        <v>279.8211034065405</v>
      </c>
      <c r="Z145" s="2" t="n">
        <v>13.41085629122023</v>
      </c>
      <c r="AA145" s="2" t="n">
        <v>334.5148550240525</v>
      </c>
      <c r="AB145" s="2" t="n">
        <v>21.611339717889564</v>
      </c>
      <c r="AC145" s="2" t="n">
        <v>186.28742496799933</v>
      </c>
      <c r="AD145" s="2" t="n">
        <v>0.49559422597146807</v>
      </c>
      <c r="AE145" s="2" t="n">
        <v>344.40341420153777</v>
      </c>
      <c r="AF145" s="2" t="n">
        <v>353.73357632122065</v>
      </c>
      <c r="AG145" s="2" t="n">
        <v>322.6371794786775</v>
      </c>
      <c r="AH145" s="2" t="n">
        <v>31.09639684254313</v>
      </c>
      <c r="AI145" s="2" t="n">
        <v>8.008711987426587</v>
      </c>
      <c r="AJ145" s="2" t="n">
        <v>353.05362434612425</v>
      </c>
      <c r="AK145" s="2" t="n">
        <v>353.3424687015831</v>
      </c>
      <c r="AL145" s="2" t="n">
        <v>353.61436911487556</v>
      </c>
      <c r="AM145" s="2" t="n">
        <v>14114225363.531027</v>
      </c>
      <c r="AN145" s="2" t="n">
        <v>14069212606.495037</v>
      </c>
      <c r="AO145" s="2" t="n">
        <v>344.67855366425744</v>
      </c>
      <c r="AP145" s="2" t="n">
        <v>243.91570308704306</v>
      </c>
      <c r="AQ145" s="2" t="n">
        <v>7.624691997769372</v>
      </c>
      <c r="AR145" s="2" t="n">
        <v>42.90979456122047</v>
      </c>
      <c r="AS145" s="2" t="n">
        <v>7.0935929352312685</v>
      </c>
      <c r="AT145" s="2" t="n">
        <v>2.2134776535260015</v>
      </c>
      <c r="AU145" s="2" t="n">
        <v>296.3451230193249</v>
      </c>
      <c r="AV145" s="2" t="n">
        <v>247.04285099010036</v>
      </c>
      <c r="AW145" s="2" t="n">
        <v>8.294009896722458e-05</v>
      </c>
      <c r="AX145" s="2" t="n">
        <v>791</v>
      </c>
      <c r="AY145" s="2" t="n">
        <v>9.838217920332681e-07</v>
      </c>
      <c r="AZ145" s="2" t="s">
        <v>131</v>
      </c>
      <c r="BA145" s="2" t="n">
        <v>4.48</v>
      </c>
      <c r="BB145" s="2" t="s">
        <v>132</v>
      </c>
      <c r="BC145" s="2" t="n">
        <v>4</v>
      </c>
      <c r="BD145" s="2" t="s">
        <v>133</v>
      </c>
      <c r="BE145" s="2" t="n">
        <v>3000</v>
      </c>
      <c r="BF145" s="2" t="s">
        <v>134</v>
      </c>
      <c r="BG145" s="2" t="n">
        <v>120</v>
      </c>
    </row>
    <row r="146" customFormat="false" ht="15" hidden="false" customHeight="false" outlineLevel="0" collapsed="false">
      <c r="A146" s="2" t="s">
        <v>278</v>
      </c>
      <c r="B146" s="2" t="s">
        <v>128</v>
      </c>
      <c r="C146" s="2" t="s">
        <v>129</v>
      </c>
      <c r="D146" s="2" t="s">
        <v>130</v>
      </c>
      <c r="E146" s="2" t="n">
        <v>1</v>
      </c>
      <c r="F146" s="2" t="n">
        <v>529.8267869891883</v>
      </c>
      <c r="G146" s="2" t="n">
        <v>329.03542968101715</v>
      </c>
      <c r="H146" s="2" t="n">
        <v>283.97069399151707</v>
      </c>
      <c r="I146" s="2" t="n">
        <v>0.653459944984853</v>
      </c>
      <c r="J146" s="2" t="n">
        <v>0.0012278362490962065</v>
      </c>
      <c r="K146" s="2" t="n">
        <v>0.00010231968742468387</v>
      </c>
      <c r="L146" s="2" t="n">
        <v>36.64988721894629</v>
      </c>
      <c r="M146" s="2" t="n">
        <v>0.4572414698778825</v>
      </c>
      <c r="N146" s="2" t="n">
        <v>1.0382546763506768</v>
      </c>
      <c r="O146" s="2" t="n">
        <v>5.198875</v>
      </c>
      <c r="P146" s="2" t="n">
        <v>2.3771412467113766</v>
      </c>
      <c r="Q146" s="2" t="n">
        <v>28.056939</v>
      </c>
      <c r="R146" s="2" t="n">
        <v>5.865857552896192</v>
      </c>
      <c r="S146" s="2" t="n">
        <v>44.25778106771486</v>
      </c>
      <c r="T146" s="2" t="n">
        <v>96.79301634546616</v>
      </c>
      <c r="U146" s="2" t="n">
        <v>0.0004283893408693526</v>
      </c>
      <c r="V146" s="2" t="n">
        <v>12.298187693702525</v>
      </c>
      <c r="W146" s="2" t="n">
        <v>1.5145597440839354e-05</v>
      </c>
      <c r="X146" s="2" t="n">
        <v>343.80831086479316</v>
      </c>
      <c r="Y146" s="2" t="n">
        <v>264.14923784636187</v>
      </c>
      <c r="Z146" s="2" t="n">
        <v>8.183147790942442</v>
      </c>
      <c r="AA146" s="2" t="n">
        <v>347.6513729141072</v>
      </c>
      <c r="AB146" s="2" t="n">
        <v>18.615943233090036</v>
      </c>
      <c r="AC146" s="2" t="n">
        <v>95.54363903510765</v>
      </c>
      <c r="AD146" s="2" t="n">
        <v>0.34153399988930444</v>
      </c>
      <c r="AE146" s="2" t="n">
        <v>359.6708993294323</v>
      </c>
      <c r="AF146" s="2" t="n">
        <v>368.4018262896205</v>
      </c>
      <c r="AG146" s="2" t="n">
        <v>339.0697283477284</v>
      </c>
      <c r="AH146" s="2" t="n">
        <v>29.332097941892073</v>
      </c>
      <c r="AI146" s="2" t="n">
        <v>7.781943904534735</v>
      </c>
      <c r="AJ146" s="2" t="n">
        <v>368.07185197691695</v>
      </c>
      <c r="AK146" s="2" t="n">
        <v>368.249464711106</v>
      </c>
      <c r="AL146" s="2" t="n">
        <v>368.3546898153296</v>
      </c>
      <c r="AM146" s="2" t="n">
        <v>16781142793.266378</v>
      </c>
      <c r="AN146" s="2" t="n">
        <v>16734826084.859024</v>
      </c>
      <c r="AO146" s="2" t="n">
        <v>359.91950529212477</v>
      </c>
      <c r="AP146" s="2" t="n">
        <v>181.5307881366108</v>
      </c>
      <c r="AQ146" s="2" t="n">
        <v>11.714628759219117</v>
      </c>
      <c r="AR146" s="2" t="n">
        <v>63.38208853203904</v>
      </c>
      <c r="AS146" s="2" t="n">
        <v>10.89022220936497</v>
      </c>
      <c r="AT146" s="2" t="n">
        <v>2.1513078904993383</v>
      </c>
      <c r="AU146" s="2" t="n">
        <v>288.68396272073653</v>
      </c>
      <c r="AV146" s="2" t="n">
        <v>151.5830622298887</v>
      </c>
      <c r="AW146" s="2" t="n">
        <v>0.00011544493699379198</v>
      </c>
      <c r="AX146" s="2" t="n">
        <v>1284</v>
      </c>
      <c r="AY146" s="2" t="n">
        <v>9.960023703570187e-07</v>
      </c>
      <c r="AZ146" s="2" t="s">
        <v>131</v>
      </c>
      <c r="BA146" s="2" t="n">
        <v>4.48</v>
      </c>
      <c r="BB146" s="2" t="s">
        <v>132</v>
      </c>
      <c r="BC146" s="2" t="n">
        <v>4</v>
      </c>
      <c r="BD146" s="2" t="s">
        <v>133</v>
      </c>
      <c r="BE146" s="2" t="n">
        <v>3000</v>
      </c>
      <c r="BF146" s="2" t="s">
        <v>134</v>
      </c>
      <c r="BG146" s="2" t="n">
        <v>120</v>
      </c>
    </row>
    <row r="147" customFormat="false" ht="15" hidden="false" customHeight="false" outlineLevel="0" collapsed="false">
      <c r="A147" s="2" t="s">
        <v>279</v>
      </c>
      <c r="B147" s="2" t="s">
        <v>128</v>
      </c>
      <c r="C147" s="2" t="s">
        <v>129</v>
      </c>
      <c r="D147" s="2" t="s">
        <v>130</v>
      </c>
      <c r="E147" s="2" t="n">
        <v>1</v>
      </c>
      <c r="F147" s="2" t="n">
        <v>439.9395751869142</v>
      </c>
      <c r="G147" s="2" t="n">
        <v>312.1504383601457</v>
      </c>
      <c r="H147" s="2" t="n">
        <v>309.6480605568326</v>
      </c>
      <c r="I147" s="2" t="n">
        <v>1.1797494858631703</v>
      </c>
      <c r="J147" s="2" t="n">
        <v>0.002493957539642099</v>
      </c>
      <c r="K147" s="2" t="n">
        <v>0.00020782979497017493</v>
      </c>
      <c r="L147" s="2" t="n">
        <v>25.41775583746568</v>
      </c>
      <c r="M147" s="2" t="n">
        <v>0.7786169994721285</v>
      </c>
      <c r="N147" s="2" t="n">
        <v>1.7315074200876397</v>
      </c>
      <c r="O147" s="2" t="n">
        <v>5.198875</v>
      </c>
      <c r="P147" s="2" t="n">
        <v>4.047932453130662</v>
      </c>
      <c r="Q147" s="2" t="n">
        <v>28.056939</v>
      </c>
      <c r="R147" s="2" t="n">
        <v>17.009363043981526</v>
      </c>
      <c r="S147" s="2" t="n">
        <v>64.97046147505264</v>
      </c>
      <c r="T147" s="2" t="n">
        <v>83.44341507968622</v>
      </c>
      <c r="U147" s="2" t="n">
        <v>0.000592735508951976</v>
      </c>
      <c r="V147" s="2" t="n">
        <v>9.022538514229298</v>
      </c>
      <c r="W147" s="2" t="n">
        <v>2.2569536563965276e-05</v>
      </c>
      <c r="X147" s="2" t="n">
        <v>285.4798699158149</v>
      </c>
      <c r="Y147" s="2" t="n">
        <v>300.77492282665366</v>
      </c>
      <c r="Z147" s="2" t="n">
        <v>10.183048046280046</v>
      </c>
      <c r="AA147" s="2" t="n">
        <v>324.34938714146637</v>
      </c>
      <c r="AB147" s="2" t="n">
        <v>12.198948781320667</v>
      </c>
      <c r="AC147" s="2" t="n">
        <v>127.17090000752874</v>
      </c>
      <c r="AD147" s="2" t="n">
        <v>0.5474705865792052</v>
      </c>
      <c r="AE147" s="2" t="n">
        <v>328.8154263754001</v>
      </c>
      <c r="AF147" s="2" t="n">
        <v>333.6127260748905</v>
      </c>
      <c r="AG147" s="2" t="n">
        <v>317.5418349735098</v>
      </c>
      <c r="AH147" s="2" t="n">
        <v>16.070891101380653</v>
      </c>
      <c r="AI147" s="2" t="n">
        <v>4.080610568932402</v>
      </c>
      <c r="AJ147" s="2" t="n">
        <v>333.21560487392753</v>
      </c>
      <c r="AK147" s="2" t="n">
        <v>333.3874404386497</v>
      </c>
      <c r="AL147" s="2" t="n">
        <v>333.5415415406753</v>
      </c>
      <c r="AM147" s="2" t="n">
        <v>11700553678.606619</v>
      </c>
      <c r="AN147" s="2" t="n">
        <v>11689844578.928131</v>
      </c>
      <c r="AO147" s="2" t="n">
        <v>328.8907077037986</v>
      </c>
      <c r="AP147" s="2" t="n">
        <v>150.73337131555027</v>
      </c>
      <c r="AQ147" s="2" t="n">
        <v>3.0822667459522735</v>
      </c>
      <c r="AR147" s="2" t="n">
        <v>17.722587720682547</v>
      </c>
      <c r="AS147" s="2" t="n">
        <v>2.757414884155381</v>
      </c>
      <c r="AT147" s="2" t="n">
        <v>2.3282225137895285</v>
      </c>
      <c r="AU147" s="2" t="n">
        <v>308.96640845554725</v>
      </c>
      <c r="AV147" s="2" t="n">
        <v>150.1326348213338</v>
      </c>
      <c r="AW147" s="2" t="n">
        <v>0.00013434490979919323</v>
      </c>
      <c r="AX147" s="2" t="n">
        <v>568</v>
      </c>
      <c r="AY147" s="2" t="n">
        <v>9.963646334654186e-07</v>
      </c>
      <c r="AZ147" s="2" t="s">
        <v>131</v>
      </c>
      <c r="BA147" s="2" t="n">
        <v>4.48</v>
      </c>
      <c r="BB147" s="2" t="s">
        <v>132</v>
      </c>
      <c r="BC147" s="2" t="n">
        <v>4</v>
      </c>
      <c r="BD147" s="2" t="s">
        <v>133</v>
      </c>
      <c r="BE147" s="2" t="n">
        <v>3000</v>
      </c>
      <c r="BF147" s="2" t="s">
        <v>134</v>
      </c>
      <c r="BG147" s="2" t="n">
        <v>120</v>
      </c>
    </row>
    <row r="148" customFormat="false" ht="15" hidden="false" customHeight="false" outlineLevel="0" collapsed="false">
      <c r="A148" s="2" t="s">
        <v>280</v>
      </c>
      <c r="B148" s="2" t="s">
        <v>128</v>
      </c>
      <c r="C148" s="2" t="s">
        <v>129</v>
      </c>
      <c r="D148" s="2" t="s">
        <v>130</v>
      </c>
      <c r="E148" s="2" t="n">
        <v>1</v>
      </c>
      <c r="F148" s="2" t="n">
        <v>695.9124307239379</v>
      </c>
      <c r="G148" s="2" t="n">
        <v>311.97989116895155</v>
      </c>
      <c r="H148" s="2" t="n">
        <v>286.42594566246316</v>
      </c>
      <c r="I148" s="2" t="n">
        <v>0.915098673176701</v>
      </c>
      <c r="J148" s="2" t="n">
        <v>0.003547362628140649</v>
      </c>
      <c r="K148" s="2" t="n">
        <v>0.0002956135523450541</v>
      </c>
      <c r="L148" s="2" t="n">
        <v>31.857063499127044</v>
      </c>
      <c r="M148" s="2" t="n">
        <v>0.9801237834041139</v>
      </c>
      <c r="N148" s="2" t="n">
        <v>1.0954443634635185</v>
      </c>
      <c r="O148" s="2" t="n">
        <v>5.198875</v>
      </c>
      <c r="P148" s="2" t="n">
        <v>5.095541034445063</v>
      </c>
      <c r="Q148" s="2" t="n">
        <v>28.056939</v>
      </c>
      <c r="R148" s="2" t="n">
        <v>26.952691692997835</v>
      </c>
      <c r="S148" s="2" t="n">
        <v>92.64633946268184</v>
      </c>
      <c r="T148" s="2" t="n">
        <v>94.52514165191207</v>
      </c>
      <c r="U148" s="2" t="n">
        <v>0.0005912418446097191</v>
      </c>
      <c r="V148" s="2" t="n">
        <v>8.964127951271744</v>
      </c>
      <c r="W148" s="2" t="n">
        <v>3.189469657794622e-05</v>
      </c>
      <c r="X148" s="2" t="n">
        <v>451.58244768377824</v>
      </c>
      <c r="Y148" s="2" t="n">
        <v>267.5824409630211</v>
      </c>
      <c r="Z148" s="2" t="n">
        <v>9.177374958071464</v>
      </c>
      <c r="AA148" s="2" t="n">
        <v>324.81031401304205</v>
      </c>
      <c r="AB148" s="2" t="n">
        <v>12.830422844090492</v>
      </c>
      <c r="AC148" s="2" t="n">
        <v>190.24919925154103</v>
      </c>
      <c r="AD148" s="2" t="n">
        <v>0.517766944833975</v>
      </c>
      <c r="AE148" s="2" t="n">
        <v>327.42798269945</v>
      </c>
      <c r="AF148" s="2" t="n">
        <v>331.3973368740563</v>
      </c>
      <c r="AG148" s="2" t="n">
        <v>317.6506657991299</v>
      </c>
      <c r="AH148" s="2" t="n">
        <v>13.746671074926383</v>
      </c>
      <c r="AI148" s="2" t="n">
        <v>3.3356008010915414</v>
      </c>
      <c r="AJ148" s="2" t="n">
        <v>331.0191005359763</v>
      </c>
      <c r="AK148" s="2" t="n">
        <v>331.17523602285104</v>
      </c>
      <c r="AL148" s="2" t="n">
        <v>331.32483810145357</v>
      </c>
      <c r="AM148" s="2" t="n">
        <v>11500899915.048683</v>
      </c>
      <c r="AN148" s="2" t="n">
        <v>11493787660.949373</v>
      </c>
      <c r="AO148" s="2" t="n">
        <v>327.4786233345672</v>
      </c>
      <c r="AP148" s="2" t="n">
        <v>238.43553237703492</v>
      </c>
      <c r="AQ148" s="2" t="n">
        <v>5.681400422605445</v>
      </c>
      <c r="AR148" s="2" t="n">
        <v>36.606181752530446</v>
      </c>
      <c r="AS148" s="2" t="n">
        <v>5.89854799437052</v>
      </c>
      <c r="AT148" s="2" t="n">
        <v>2.2257917203853723</v>
      </c>
      <c r="AU148" s="2" t="n">
        <v>286.4296381554746</v>
      </c>
      <c r="AV148" s="2" t="n">
        <v>171.04659310341592</v>
      </c>
      <c r="AW148" s="2" t="n">
        <v>8.530896686120911e-05</v>
      </c>
      <c r="AX148" s="2" t="n">
        <v>363</v>
      </c>
      <c r="AY148" s="2" t="n">
        <v>9.727455676511454e-07</v>
      </c>
      <c r="AZ148" s="2" t="s">
        <v>131</v>
      </c>
      <c r="BA148" s="2" t="n">
        <v>4.48</v>
      </c>
      <c r="BB148" s="2" t="s">
        <v>132</v>
      </c>
      <c r="BC148" s="2" t="n">
        <v>4</v>
      </c>
      <c r="BD148" s="2" t="s">
        <v>133</v>
      </c>
      <c r="BE148" s="2" t="n">
        <v>3000</v>
      </c>
      <c r="BF148" s="2" t="s">
        <v>134</v>
      </c>
      <c r="BG148" s="2" t="n">
        <v>120</v>
      </c>
    </row>
    <row r="149" customFormat="false" ht="15" hidden="false" customHeight="false" outlineLevel="0" collapsed="false">
      <c r="A149" s="2" t="s">
        <v>281</v>
      </c>
      <c r="B149" s="2" t="s">
        <v>128</v>
      </c>
      <c r="C149" s="2" t="s">
        <v>129</v>
      </c>
      <c r="D149" s="2" t="s">
        <v>130</v>
      </c>
      <c r="E149" s="2" t="n">
        <v>1</v>
      </c>
      <c r="F149" s="2" t="n">
        <v>616.5602314202838</v>
      </c>
      <c r="G149" s="2" t="n">
        <v>318.5775775836548</v>
      </c>
      <c r="H149" s="2" t="n">
        <v>283.03925760915934</v>
      </c>
      <c r="I149" s="2" t="n">
        <v>3.7921072666208606</v>
      </c>
      <c r="J149" s="2" t="n">
        <v>0.002538152897205253</v>
      </c>
      <c r="K149" s="2" t="n">
        <v>0.00021151274143377109</v>
      </c>
      <c r="L149" s="2" t="n">
        <v>25.31874358955582</v>
      </c>
      <c r="M149" s="2" t="n">
        <v>0.45200816715793884</v>
      </c>
      <c r="N149" s="2" t="n">
        <v>1.7252831512479618</v>
      </c>
      <c r="O149" s="2" t="n">
        <v>5.198875</v>
      </c>
      <c r="P149" s="2" t="n">
        <v>2.3499339600332294</v>
      </c>
      <c r="Q149" s="2" t="n">
        <v>28.056939</v>
      </c>
      <c r="R149" s="2" t="n">
        <v>5.7323520148161595</v>
      </c>
      <c r="S149" s="2" t="n">
        <v>74.99256539474166</v>
      </c>
      <c r="T149" s="2" t="n">
        <v>165.9097574857271</v>
      </c>
      <c r="U149" s="2" t="n">
        <v>0.0005226216675355665</v>
      </c>
      <c r="V149" s="2" t="n">
        <v>23.421042056303513</v>
      </c>
      <c r="W149" s="2" t="n">
        <v>5.962506093357356e-05</v>
      </c>
      <c r="X149" s="2" t="n">
        <v>400.090250090242</v>
      </c>
      <c r="Y149" s="2" t="n">
        <v>262.85067244208227</v>
      </c>
      <c r="Z149" s="2" t="n">
        <v>20.11000761315927</v>
      </c>
      <c r="AA149" s="2" t="n">
        <v>332.51578909935614</v>
      </c>
      <c r="AB149" s="2" t="n">
        <v>13.938211515701369</v>
      </c>
      <c r="AC149" s="2" t="n">
        <v>147.87716391102688</v>
      </c>
      <c r="AD149" s="2" t="n">
        <v>0.45424659574615706</v>
      </c>
      <c r="AE149" s="2" t="n">
        <v>337.51740805656084</v>
      </c>
      <c r="AF149" s="2" t="n">
        <v>342.97858556306875</v>
      </c>
      <c r="AG149" s="2" t="n">
        <v>324.6935982311789</v>
      </c>
      <c r="AH149" s="2" t="n">
        <v>18.28498733188985</v>
      </c>
      <c r="AI149" s="2" t="n">
        <v>4.644129159702226</v>
      </c>
      <c r="AJ149" s="2" t="n">
        <v>342.53133649031275</v>
      </c>
      <c r="AK149" s="2" t="n">
        <v>342.72670963773743</v>
      </c>
      <c r="AL149" s="2" t="n">
        <v>342.8973712290241</v>
      </c>
      <c r="AM149" s="2" t="n">
        <v>12991919713.173573</v>
      </c>
      <c r="AN149" s="2" t="n">
        <v>12977310892.876373</v>
      </c>
      <c r="AO149" s="2" t="n">
        <v>337.6123555207192</v>
      </c>
      <c r="AP149" s="2" t="n">
        <v>211.2476520476478</v>
      </c>
      <c r="AQ149" s="2" t="n">
        <v>7.728453380100386</v>
      </c>
      <c r="AR149" s="2" t="n">
        <v>47.804612759885636</v>
      </c>
      <c r="AS149" s="2" t="n">
        <v>7.837220008573305</v>
      </c>
      <c r="AT149" s="2" t="n">
        <v>2.203082573645634</v>
      </c>
      <c r="AU149" s="2" t="n">
        <v>283.9769979157074</v>
      </c>
      <c r="AV149" s="2" t="n">
        <v>173.24506494837343</v>
      </c>
      <c r="AW149" s="2" t="n">
        <v>9.664475423332485e-05</v>
      </c>
      <c r="AX149" s="2" t="n">
        <v>577</v>
      </c>
      <c r="AY149" s="2" t="n">
        <v>9.907658977681422e-07</v>
      </c>
      <c r="AZ149" s="2" t="s">
        <v>131</v>
      </c>
      <c r="BA149" s="2" t="n">
        <v>4.48</v>
      </c>
      <c r="BB149" s="2" t="s">
        <v>132</v>
      </c>
      <c r="BC149" s="2" t="n">
        <v>4</v>
      </c>
      <c r="BD149" s="2" t="s">
        <v>133</v>
      </c>
      <c r="BE149" s="2" t="n">
        <v>3000</v>
      </c>
      <c r="BF149" s="2" t="s">
        <v>134</v>
      </c>
      <c r="BG149" s="2" t="n">
        <v>120</v>
      </c>
    </row>
    <row r="150" customFormat="false" ht="15" hidden="false" customHeight="false" outlineLevel="0" collapsed="false">
      <c r="A150" s="2" t="s">
        <v>282</v>
      </c>
      <c r="B150" s="2" t="s">
        <v>128</v>
      </c>
      <c r="C150" s="2" t="s">
        <v>129</v>
      </c>
      <c r="D150" s="2" t="s">
        <v>130</v>
      </c>
      <c r="E150" s="2" t="n">
        <v>1</v>
      </c>
      <c r="F150" s="2" t="n">
        <v>501.1967879182783</v>
      </c>
      <c r="G150" s="2" t="n">
        <v>317.63184633400823</v>
      </c>
      <c r="H150" s="2" t="n">
        <v>308.76333127769715</v>
      </c>
      <c r="I150" s="2" t="n">
        <v>0.0887815751987222</v>
      </c>
      <c r="J150" s="2" t="n">
        <v>0.003502341018250929</v>
      </c>
      <c r="K150" s="2" t="n">
        <v>0.00029186175152091075</v>
      </c>
      <c r="L150" s="2" t="n">
        <v>34.68701418695118</v>
      </c>
      <c r="M150" s="2" t="n">
        <v>0.7519039161428969</v>
      </c>
      <c r="N150" s="2" t="n">
        <v>0.676345211365526</v>
      </c>
      <c r="O150" s="2" t="n">
        <v>5.198875</v>
      </c>
      <c r="P150" s="2" t="n">
        <v>3.9090544720374036</v>
      </c>
      <c r="Q150" s="2" t="n">
        <v>28.056939</v>
      </c>
      <c r="R150" s="2" t="n">
        <v>15.862256979628567</v>
      </c>
      <c r="S150" s="2" t="n">
        <v>98.4858493409484</v>
      </c>
      <c r="T150" s="2" t="n">
        <v>130.98196089489645</v>
      </c>
      <c r="U150" s="2" t="n">
        <v>0.0005491265440168703</v>
      </c>
      <c r="V150" s="2" t="n">
        <v>15.88078059474981</v>
      </c>
      <c r="W150" s="2" t="n">
        <v>5.578727109211198e-05</v>
      </c>
      <c r="X150" s="2" t="n">
        <v>325.23010405768616</v>
      </c>
      <c r="Y150" s="2" t="n">
        <v>299.4867787449797</v>
      </c>
      <c r="Z150" s="2" t="n">
        <v>6.037369985755144</v>
      </c>
      <c r="AA150" s="2" t="n">
        <v>327.5979661105475</v>
      </c>
      <c r="AB150" s="2" t="n">
        <v>9.966119776539244</v>
      </c>
      <c r="AC150" s="2" t="n">
        <v>145.90185536021227</v>
      </c>
      <c r="AD150" s="2" t="n">
        <v>0.5513388716302186</v>
      </c>
      <c r="AE150" s="2" t="n">
        <v>329.77040364453705</v>
      </c>
      <c r="AF150" s="2" t="n">
        <v>332.9067734629399</v>
      </c>
      <c r="AG150" s="2" t="n">
        <v>322.1200062600495</v>
      </c>
      <c r="AH150" s="2" t="n">
        <v>10.786767202890417</v>
      </c>
      <c r="AI150" s="2" t="n">
        <v>2.65247489351587</v>
      </c>
      <c r="AJ150" s="2" t="n">
        <v>332.62974148787083</v>
      </c>
      <c r="AK150" s="2" t="n">
        <v>332.7415757190989</v>
      </c>
      <c r="AL150" s="2" t="n">
        <v>332.85230990717</v>
      </c>
      <c r="AM150" s="2" t="n">
        <v>11830806180.854763</v>
      </c>
      <c r="AN150" s="2" t="n">
        <v>11826240410.767101</v>
      </c>
      <c r="AO150" s="2" t="n">
        <v>329.8022277462316</v>
      </c>
      <c r="AP150" s="2" t="n">
        <v>171.7214949424583</v>
      </c>
      <c r="AQ150" s="2" t="n">
        <v>3.3708056615635607</v>
      </c>
      <c r="AR150" s="2" t="n">
        <v>19.426550511255797</v>
      </c>
      <c r="AS150" s="2" t="n">
        <v>3.0220748414339615</v>
      </c>
      <c r="AT150" s="2" t="n">
        <v>2.3278271092798053</v>
      </c>
      <c r="AU150" s="2" t="n">
        <v>308.0129743517007</v>
      </c>
      <c r="AV150" s="2" t="n">
        <v>134.6900246417283</v>
      </c>
      <c r="AW150" s="2" t="n">
        <v>0.00012068288970673382</v>
      </c>
      <c r="AX150" s="2" t="n">
        <v>317</v>
      </c>
      <c r="AY150" s="2" t="n">
        <v>9.864301091511152e-07</v>
      </c>
      <c r="AZ150" s="2" t="s">
        <v>131</v>
      </c>
      <c r="BA150" s="2" t="n">
        <v>4.48</v>
      </c>
      <c r="BB150" s="2" t="s">
        <v>132</v>
      </c>
      <c r="BC150" s="2" t="n">
        <v>4</v>
      </c>
      <c r="BD150" s="2" t="s">
        <v>133</v>
      </c>
      <c r="BE150" s="2" t="n">
        <v>3000</v>
      </c>
      <c r="BF150" s="2" t="s">
        <v>134</v>
      </c>
      <c r="BG150" s="2" t="n">
        <v>120</v>
      </c>
    </row>
    <row r="151" customFormat="false" ht="15" hidden="false" customHeight="false" outlineLevel="0" collapsed="false">
      <c r="A151" s="2" t="s">
        <v>283</v>
      </c>
      <c r="B151" s="2" t="s">
        <v>128</v>
      </c>
      <c r="C151" s="2" t="s">
        <v>129</v>
      </c>
      <c r="D151" s="2" t="s">
        <v>130</v>
      </c>
      <c r="E151" s="2" t="n">
        <v>1</v>
      </c>
      <c r="F151" s="2" t="n">
        <v>810.3819935710516</v>
      </c>
      <c r="G151" s="2" t="n">
        <v>322.95247571051243</v>
      </c>
      <c r="H151" s="2" t="n">
        <v>305.989666266972</v>
      </c>
      <c r="I151" s="2" t="n">
        <v>3.4871662435315627</v>
      </c>
      <c r="J151" s="2" t="n">
        <v>0.0033599795049242516</v>
      </c>
      <c r="K151" s="2" t="n">
        <v>0.000279998292077021</v>
      </c>
      <c r="L151" s="2" t="n">
        <v>26.790167779857153</v>
      </c>
      <c r="M151" s="2" t="n">
        <v>0.6878274117437818</v>
      </c>
      <c r="N151" s="2" t="n">
        <v>1.843125580085182</v>
      </c>
      <c r="O151" s="2" t="n">
        <v>5.198875</v>
      </c>
      <c r="P151" s="2" t="n">
        <v>3.575928735229454</v>
      </c>
      <c r="Q151" s="2" t="n">
        <v>28.056939</v>
      </c>
      <c r="R151" s="2" t="n">
        <v>13.27392156744848</v>
      </c>
      <c r="S151" s="2" t="n">
        <v>108.81120279772131</v>
      </c>
      <c r="T151" s="2" t="n">
        <v>158.1955021563663</v>
      </c>
      <c r="U151" s="2" t="n">
        <v>0.0004768160425003376</v>
      </c>
      <c r="V151" s="2" t="n">
        <v>11.90682238694271</v>
      </c>
      <c r="W151" s="2" t="n">
        <v>4.01270603700108e-05</v>
      </c>
      <c r="X151" s="2" t="n">
        <v>525.8625483022103</v>
      </c>
      <c r="Y151" s="2" t="n">
        <v>295.4603565987529</v>
      </c>
      <c r="Z151" s="2" t="n">
        <v>18.951231725419937</v>
      </c>
      <c r="AA151" s="2" t="n">
        <v>339.55841402733216</v>
      </c>
      <c r="AB151" s="2" t="n">
        <v>16.60593831681973</v>
      </c>
      <c r="AC151" s="2" t="n">
        <v>233.2256598510216</v>
      </c>
      <c r="AD151" s="2" t="n">
        <v>0.5450704339109071</v>
      </c>
      <c r="AE151" s="2" t="n">
        <v>343.5654385617539</v>
      </c>
      <c r="AF151" s="2" t="n">
        <v>349.11252928798865</v>
      </c>
      <c r="AG151" s="2" t="n">
        <v>330.17511068004393</v>
      </c>
      <c r="AH151" s="2" t="n">
        <v>18.93741860794472</v>
      </c>
      <c r="AI151" s="2" t="n">
        <v>4.660640923571312</v>
      </c>
      <c r="AJ151" s="2" t="n">
        <v>348.58581821505027</v>
      </c>
      <c r="AK151" s="2" t="n">
        <v>348.80490831492966</v>
      </c>
      <c r="AL151" s="2" t="n">
        <v>349.0120367122918</v>
      </c>
      <c r="AM151" s="2" t="n">
        <v>13948043611.290741</v>
      </c>
      <c r="AN151" s="2" t="n">
        <v>13932783080.12158</v>
      </c>
      <c r="AO151" s="2" t="n">
        <v>343.6594764675696</v>
      </c>
      <c r="AP151" s="2" t="n">
        <v>277.655425503567</v>
      </c>
      <c r="AQ151" s="2" t="n">
        <v>6.0787470244894335</v>
      </c>
      <c r="AR151" s="2" t="n">
        <v>32.94516750811222</v>
      </c>
      <c r="AS151" s="2" t="n">
        <v>5.405645970866612</v>
      </c>
      <c r="AT151" s="2" t="n">
        <v>2.2394026335031985</v>
      </c>
      <c r="AU151" s="2" t="n">
        <v>306.66737206337666</v>
      </c>
      <c r="AV151" s="2" t="n">
        <v>226.15372273606738</v>
      </c>
      <c r="AW151" s="2" t="n">
        <v>7.50542473939859e-05</v>
      </c>
      <c r="AX151" s="2" t="n">
        <v>427</v>
      </c>
      <c r="AY151" s="2" t="n">
        <v>9.860108320935979e-07</v>
      </c>
      <c r="AZ151" s="2" t="s">
        <v>131</v>
      </c>
      <c r="BA151" s="2" t="n">
        <v>4.48</v>
      </c>
      <c r="BB151" s="2" t="s">
        <v>132</v>
      </c>
      <c r="BC151" s="2" t="n">
        <v>4</v>
      </c>
      <c r="BD151" s="2" t="s">
        <v>133</v>
      </c>
      <c r="BE151" s="2" t="n">
        <v>3000</v>
      </c>
      <c r="BF151" s="2" t="s">
        <v>134</v>
      </c>
      <c r="BG151" s="2" t="n">
        <v>120</v>
      </c>
    </row>
    <row r="152" customFormat="false" ht="15" hidden="false" customHeight="false" outlineLevel="0" collapsed="false">
      <c r="A152" s="2" t="s">
        <v>284</v>
      </c>
      <c r="B152" s="2" t="s">
        <v>128</v>
      </c>
      <c r="C152" s="2" t="s">
        <v>129</v>
      </c>
      <c r="D152" s="2" t="s">
        <v>285</v>
      </c>
      <c r="E152" s="2" t="n">
        <v>0</v>
      </c>
      <c r="F152" s="2" t="n">
        <v>665.0261485403818</v>
      </c>
      <c r="G152" s="2" t="n">
        <v>289.92298855099943</v>
      </c>
      <c r="H152" s="2" t="n">
        <v>289.9616569092876</v>
      </c>
      <c r="I152" s="2" t="n">
        <v>1.8450970027167353</v>
      </c>
      <c r="J152" s="2" t="n">
        <v>0.00323425763409006</v>
      </c>
      <c r="K152" s="2" t="n">
        <v>0.000269521469507505</v>
      </c>
      <c r="L152" s="2" t="n">
        <v>29.224789925588667</v>
      </c>
      <c r="M152" s="2" t="n">
        <v>0.5215592297444251</v>
      </c>
      <c r="N152" s="2" t="n">
        <v>1.2415122540389865</v>
      </c>
      <c r="O152" s="2" t="n">
        <v>5.198875</v>
      </c>
      <c r="P152" s="2" t="n">
        <v>2.7115212405375484</v>
      </c>
      <c r="Q152" s="2" t="n">
        <v>28.056939</v>
      </c>
      <c r="R152" s="2" t="n">
        <v>7.632161619936409</v>
      </c>
      <c r="S152" s="2" t="n">
        <v>55.66469613899235</v>
      </c>
      <c r="T152" s="2" t="n">
        <v>106.72746826140762</v>
      </c>
      <c r="U152" s="2" t="n">
        <v>0.0008971862534620165</v>
      </c>
      <c r="V152" s="2" t="n">
        <v>44.914518826835646</v>
      </c>
      <c r="W152" s="2" t="n">
        <v>0.00014570223209345526</v>
      </c>
      <c r="X152" s="2" t="n">
        <v>431.5401229708934</v>
      </c>
      <c r="Y152" s="2" t="n">
        <v>272.55235370232197</v>
      </c>
      <c r="Z152" s="2" t="n">
        <v>12.711368610323593</v>
      </c>
      <c r="AA152" s="2" t="n">
        <v>305.7192343321986</v>
      </c>
      <c r="AB152" s="2" t="n">
        <v>15.796245781199161</v>
      </c>
      <c r="AC152" s="2" t="n">
        <v>213.5525571626303</v>
      </c>
      <c r="AD152" s="2" t="n">
        <v>0.6081799964926349</v>
      </c>
      <c r="AE152" s="2" t="n">
        <v>299.6618397002378</v>
      </c>
      <c r="AF152" s="2" t="n">
        <v>306.7435116609865</v>
      </c>
      <c r="AG152" s="2" t="n">
        <v>292.13581549385185</v>
      </c>
      <c r="AH152" s="2" t="n">
        <v>14.607696167134634</v>
      </c>
      <c r="AI152" s="2" t="n">
        <v>4.437833819921799</v>
      </c>
      <c r="AJ152" s="2" t="n">
        <v>305.81582146094775</v>
      </c>
      <c r="AK152" s="2" t="n">
        <v>306.38484385717595</v>
      </c>
      <c r="AL152" s="2" t="n">
        <v>306.6877261077325</v>
      </c>
      <c r="AM152" s="2" t="n">
        <v>8074146531.280063</v>
      </c>
      <c r="AN152" s="2" t="n">
        <v>8063540391.525135</v>
      </c>
      <c r="AO152" s="2" t="n">
        <v>299.76032897230203</v>
      </c>
      <c r="AP152" s="2" t="n">
        <v>227.85318492863172</v>
      </c>
      <c r="AQ152" s="2" t="n">
        <v>1.5429545033399705</v>
      </c>
      <c r="AR152" s="2" t="n">
        <v>11.36224460018024</v>
      </c>
      <c r="AS152" s="2" t="n">
        <v>1.395467100694865</v>
      </c>
      <c r="AT152" s="2" t="n">
        <v>2.792166175400543</v>
      </c>
      <c r="AU152" s="2" t="n">
        <v>286.9363054705198</v>
      </c>
      <c r="AV152" s="2" t="n">
        <v>8.116188610074461e-11</v>
      </c>
      <c r="AW152" s="2" t="n">
        <v>-1.9237241494814972e-05</v>
      </c>
      <c r="AX152" s="2" t="n">
        <v>115</v>
      </c>
      <c r="AY152" s="2" t="n">
        <v>8.749504445404455e-07</v>
      </c>
      <c r="AZ152" s="2" t="s">
        <v>131</v>
      </c>
      <c r="BA152" s="2" t="n">
        <v>4.48</v>
      </c>
      <c r="BB152" s="2" t="s">
        <v>132</v>
      </c>
      <c r="BC152" s="2" t="n">
        <v>4</v>
      </c>
      <c r="BD152" s="2" t="s">
        <v>133</v>
      </c>
      <c r="BE152" s="2" t="n">
        <v>3000</v>
      </c>
      <c r="BF152" s="2" t="s">
        <v>134</v>
      </c>
      <c r="BG152" s="2" t="n">
        <v>120</v>
      </c>
    </row>
    <row r="153" customFormat="false" ht="15" hidden="false" customHeight="false" outlineLevel="0" collapsed="false">
      <c r="A153" s="2" t="s">
        <v>286</v>
      </c>
      <c r="B153" s="2" t="s">
        <v>128</v>
      </c>
      <c r="C153" s="2" t="s">
        <v>129</v>
      </c>
      <c r="D153" s="2" t="s">
        <v>285</v>
      </c>
      <c r="E153" s="2" t="n">
        <v>0</v>
      </c>
      <c r="F153" s="2" t="n">
        <v>913.2766657605589</v>
      </c>
      <c r="G153" s="2" t="n">
        <v>295.41924779204675</v>
      </c>
      <c r="H153" s="2" t="n">
        <v>310.78004620024416</v>
      </c>
      <c r="I153" s="2" t="n">
        <v>1.407915027025053</v>
      </c>
      <c r="J153" s="2" t="n">
        <v>0.003159752907975586</v>
      </c>
      <c r="K153" s="2" t="n">
        <v>0.00026331274233129884</v>
      </c>
      <c r="L153" s="2" t="n">
        <v>20.238571220916803</v>
      </c>
      <c r="M153" s="2" t="n">
        <v>0.41531641812097164</v>
      </c>
      <c r="N153" s="2" t="n">
        <v>1.2974449544028175</v>
      </c>
      <c r="O153" s="2" t="n">
        <v>5.198875</v>
      </c>
      <c r="P153" s="2" t="n">
        <v>2.1591781432586665</v>
      </c>
      <c r="Q153" s="2" t="n">
        <v>28.056939</v>
      </c>
      <c r="R153" s="2" t="n">
        <v>4.8394776392001555</v>
      </c>
      <c r="S153" s="2" t="n">
        <v>66.61310243811705</v>
      </c>
      <c r="T153" s="2" t="n">
        <v>160.39120904368932</v>
      </c>
      <c r="U153" s="2" t="n">
        <v>0.0007324555983813835</v>
      </c>
      <c r="V153" s="2" t="n">
        <v>59.48541112095488</v>
      </c>
      <c r="W153" s="2" t="n">
        <v>0.00018852477509685096</v>
      </c>
      <c r="X153" s="2" t="n">
        <v>592.6316213486868</v>
      </c>
      <c r="Y153" s="2" t="n">
        <v>302.42575121899785</v>
      </c>
      <c r="Z153" s="2" t="n">
        <v>11.050077102695202</v>
      </c>
      <c r="AA153" s="2" t="n">
        <v>318.9878402839203</v>
      </c>
      <c r="AB153" s="2" t="n">
        <v>23.568592491873574</v>
      </c>
      <c r="AC153" s="2" t="n">
        <v>311.28848181171236</v>
      </c>
      <c r="AD153" s="2" t="n">
        <v>0.6455453650420525</v>
      </c>
      <c r="AE153" s="2" t="n">
        <v>309.8162873646046</v>
      </c>
      <c r="AF153" s="2" t="n">
        <v>320.4193393850467</v>
      </c>
      <c r="AG153" s="2" t="n">
        <v>298.62136154578684</v>
      </c>
      <c r="AH153" s="2" t="n">
        <v>21.797977839259886</v>
      </c>
      <c r="AI153" s="2" t="n">
        <v>6.627371766479743</v>
      </c>
      <c r="AJ153" s="2" t="n">
        <v>319.0363330141451</v>
      </c>
      <c r="AK153" s="2" t="n">
        <v>319.8757637461924</v>
      </c>
      <c r="AL153" s="2" t="n">
        <v>320.3320006623996</v>
      </c>
      <c r="AM153" s="2" t="n">
        <v>9238619405.593452</v>
      </c>
      <c r="AN153" s="2" t="n">
        <v>9213337520.270096</v>
      </c>
      <c r="AO153" s="2" t="n">
        <v>310.0286070767619</v>
      </c>
      <c r="AP153" s="2" t="n">
        <v>312.90949607210666</v>
      </c>
      <c r="AQ153" s="2" t="n">
        <v>0.26505121129130643</v>
      </c>
      <c r="AR153" s="2" t="n">
        <v>1.4946603394113194</v>
      </c>
      <c r="AS153" s="2" t="n">
        <v>-0.138646227305514</v>
      </c>
      <c r="AT153" s="2" t="n">
        <v>-3.185550837373982</v>
      </c>
      <c r="AU153" s="2" t="n">
        <v>308.1422914262774</v>
      </c>
      <c r="AV153" s="2" t="n">
        <v>9.0469143287919e-11</v>
      </c>
      <c r="AW153" s="2" t="n">
        <v>-1.5351720662312597e-05</v>
      </c>
      <c r="AX153" s="2" t="n">
        <v>118</v>
      </c>
      <c r="AY153" s="2" t="n">
        <v>9.447447268939868e-07</v>
      </c>
      <c r="AZ153" s="2" t="s">
        <v>131</v>
      </c>
      <c r="BA153" s="2" t="n">
        <v>4.48</v>
      </c>
      <c r="BB153" s="2" t="s">
        <v>132</v>
      </c>
      <c r="BC153" s="2" t="n">
        <v>4</v>
      </c>
      <c r="BD153" s="2" t="s">
        <v>133</v>
      </c>
      <c r="BE153" s="2" t="n">
        <v>3000</v>
      </c>
      <c r="BF153" s="2" t="s">
        <v>134</v>
      </c>
      <c r="BG153" s="2" t="n">
        <v>120</v>
      </c>
    </row>
    <row r="154" customFormat="false" ht="15" hidden="false" customHeight="false" outlineLevel="0" collapsed="false">
      <c r="A154" s="2" t="s">
        <v>287</v>
      </c>
      <c r="B154" s="2" t="s">
        <v>128</v>
      </c>
      <c r="C154" s="2" t="s">
        <v>129</v>
      </c>
      <c r="D154" s="2" t="s">
        <v>285</v>
      </c>
      <c r="E154" s="2" t="n">
        <v>0</v>
      </c>
      <c r="F154" s="2" t="n">
        <v>550.2224033401654</v>
      </c>
      <c r="G154" s="2" t="n">
        <v>294.452308131461</v>
      </c>
      <c r="H154" s="2" t="n">
        <v>306.8768345845313</v>
      </c>
      <c r="I154" s="2" t="n">
        <v>0.7645911554854578</v>
      </c>
      <c r="J154" s="2" t="n">
        <v>0.0015128861067452083</v>
      </c>
      <c r="K154" s="2" t="n">
        <v>0.00012607384222876737</v>
      </c>
      <c r="L154" s="2" t="n">
        <v>34.489845200834736</v>
      </c>
      <c r="M154" s="2" t="n">
        <v>0.5823143267007471</v>
      </c>
      <c r="N154" s="2" t="n">
        <v>0.8952351321581937</v>
      </c>
      <c r="O154" s="2" t="n">
        <v>5.198875</v>
      </c>
      <c r="P154" s="2" t="n">
        <v>3.027379395226347</v>
      </c>
      <c r="Q154" s="2" t="n">
        <v>28.056939</v>
      </c>
      <c r="R154" s="2" t="n">
        <v>9.513826746357578</v>
      </c>
      <c r="S154" s="2" t="n">
        <v>32.884545012902436</v>
      </c>
      <c r="T154" s="2" t="n">
        <v>56.47215516612541</v>
      </c>
      <c r="U154" s="2" t="n">
        <v>0.0007103988321376285</v>
      </c>
      <c r="V154" s="2" t="n">
        <v>15.068055580388842</v>
      </c>
      <c r="W154" s="2" t="n">
        <v>2.2864846482682935e-05</v>
      </c>
      <c r="X154" s="2" t="n">
        <v>357.0431690842567</v>
      </c>
      <c r="Y154" s="2" t="n">
        <v>296.7462479246752</v>
      </c>
      <c r="Z154" s="2" t="n">
        <v>8.60544639084474</v>
      </c>
      <c r="AA154" s="2" t="n">
        <v>322.98346242938266</v>
      </c>
      <c r="AB154" s="2" t="n">
        <v>28.53115429792166</v>
      </c>
      <c r="AC154" s="2" t="n">
        <v>180.42713743732935</v>
      </c>
      <c r="AD154" s="2" t="n">
        <v>0.6210544340867452</v>
      </c>
      <c r="AE154" s="2" t="n">
        <v>311.17755106034633</v>
      </c>
      <c r="AF154" s="2" t="n">
        <v>323.5003671425722</v>
      </c>
      <c r="AG154" s="2" t="n">
        <v>297.4010087883498</v>
      </c>
      <c r="AH154" s="2" t="n">
        <v>26.099358354222375</v>
      </c>
      <c r="AI154" s="2" t="n">
        <v>7.958531814759716</v>
      </c>
      <c r="AJ154" s="2" t="n">
        <v>322.0820147482545</v>
      </c>
      <c r="AK154" s="2" t="n">
        <v>323.00121473782565</v>
      </c>
      <c r="AL154" s="2" t="n">
        <v>323.4409904095248</v>
      </c>
      <c r="AM154" s="2" t="n">
        <v>9413083419.80721</v>
      </c>
      <c r="AN154" s="2" t="n">
        <v>9376333250.01873</v>
      </c>
      <c r="AO154" s="2" t="n">
        <v>311.48201596959433</v>
      </c>
      <c r="AP154" s="2" t="n">
        <v>188.51879327648754</v>
      </c>
      <c r="AQ154" s="2" t="n">
        <v>1.0418282110634496</v>
      </c>
      <c r="AR154" s="2" t="n">
        <v>6.431178986591375</v>
      </c>
      <c r="AS154" s="2" t="n">
        <v>0.6187005421192041</v>
      </c>
      <c r="AT154" s="2" t="n">
        <v>3.5633843435534294</v>
      </c>
      <c r="AU154" s="2" t="n">
        <v>303.9747323206394</v>
      </c>
      <c r="AV154" s="2" t="n">
        <v>8.858165756464585e-11</v>
      </c>
      <c r="AW154" s="2" t="n">
        <v>-2.8326290466099686e-05</v>
      </c>
      <c r="AX154" s="2" t="n">
        <v>224</v>
      </c>
      <c r="AY154" s="2" t="n">
        <v>9.653595611780474e-07</v>
      </c>
      <c r="AZ154" s="2" t="s">
        <v>131</v>
      </c>
      <c r="BA154" s="2" t="n">
        <v>4.48</v>
      </c>
      <c r="BB154" s="2" t="s">
        <v>132</v>
      </c>
      <c r="BC154" s="2" t="n">
        <v>4</v>
      </c>
      <c r="BD154" s="2" t="s">
        <v>133</v>
      </c>
      <c r="BE154" s="2" t="n">
        <v>3000</v>
      </c>
      <c r="BF154" s="2" t="s">
        <v>134</v>
      </c>
      <c r="BG154" s="2" t="n">
        <v>120</v>
      </c>
    </row>
    <row r="155" customFormat="false" ht="15" hidden="false" customHeight="false" outlineLevel="0" collapsed="false">
      <c r="A155" s="2" t="s">
        <v>288</v>
      </c>
      <c r="B155" s="2" t="s">
        <v>128</v>
      </c>
      <c r="C155" s="2" t="s">
        <v>129</v>
      </c>
      <c r="D155" s="2" t="s">
        <v>285</v>
      </c>
      <c r="E155" s="2" t="n">
        <v>0</v>
      </c>
      <c r="F155" s="2" t="n">
        <v>990.3463610124817</v>
      </c>
      <c r="G155" s="2" t="n">
        <v>323.6548123267875</v>
      </c>
      <c r="H155" s="2" t="n">
        <v>283.03741660372697</v>
      </c>
      <c r="I155" s="2" t="n">
        <v>0.13488052817056873</v>
      </c>
      <c r="J155" s="2" t="n">
        <v>0.003945113533167767</v>
      </c>
      <c r="K155" s="2" t="n">
        <v>0.0003287594610973139</v>
      </c>
      <c r="L155" s="2" t="n">
        <v>20.721900650096522</v>
      </c>
      <c r="M155" s="2" t="n">
        <v>0.8876607722866804</v>
      </c>
      <c r="N155" s="2" t="n">
        <v>0.8737015945043306</v>
      </c>
      <c r="O155" s="2" t="n">
        <v>5.198875</v>
      </c>
      <c r="P155" s="2" t="n">
        <v>4.6148373975219155</v>
      </c>
      <c r="Q155" s="2" t="n">
        <v>28.056939</v>
      </c>
      <c r="R155" s="2" t="n">
        <v>22.107230715803382</v>
      </c>
      <c r="S155" s="2" t="n">
        <v>129.5490821998272</v>
      </c>
      <c r="T155" s="2" t="n">
        <v>145.9443587510341</v>
      </c>
      <c r="U155" s="2" t="n">
        <v>0.00047023289515386803</v>
      </c>
      <c r="V155" s="2" t="n">
        <v>9.880664572383921</v>
      </c>
      <c r="W155" s="2" t="n">
        <v>3.90976364304946e-05</v>
      </c>
      <c r="X155" s="2" t="n">
        <v>642.6426860855264</v>
      </c>
      <c r="Y155" s="2" t="n">
        <v>262.84810791057663</v>
      </c>
      <c r="Z155" s="2" t="n">
        <v>6.212546007048161</v>
      </c>
      <c r="AA155" s="2" t="n">
        <v>340.65997827670105</v>
      </c>
      <c r="AB155" s="2" t="n">
        <v>17.005165949913533</v>
      </c>
      <c r="AC155" s="2" t="n">
        <v>280.42495714916845</v>
      </c>
      <c r="AD155" s="2" t="n">
        <v>0.5362849749309907</v>
      </c>
      <c r="AE155" s="2" t="n">
        <v>334.24869372035243</v>
      </c>
      <c r="AF155" s="2" t="n">
        <v>341.96931914898744</v>
      </c>
      <c r="AG155" s="2" t="n">
        <v>326.15557636885427</v>
      </c>
      <c r="AH155" s="2" t="n">
        <v>15.813742780133168</v>
      </c>
      <c r="AI155" s="2" t="n">
        <v>4.792801097612103</v>
      </c>
      <c r="AJ155" s="2" t="n">
        <v>340.88063339909695</v>
      </c>
      <c r="AK155" s="2" t="n">
        <v>341.5417179844137</v>
      </c>
      <c r="AL155" s="2" t="n">
        <v>341.91262298867935</v>
      </c>
      <c r="AM155" s="2" t="n">
        <v>12497240209.255507</v>
      </c>
      <c r="AN155" s="2" t="n">
        <v>12481847571.653406</v>
      </c>
      <c r="AO155" s="2" t="n">
        <v>334.35169512694563</v>
      </c>
      <c r="AP155" s="2" t="n">
        <v>339.31533825315796</v>
      </c>
      <c r="AQ155" s="2" t="n">
        <v>7.0842018886798686</v>
      </c>
      <c r="AR155" s="2" t="n">
        <v>44.43897464906618</v>
      </c>
      <c r="AS155" s="2" t="n">
        <v>7.367248013871467</v>
      </c>
      <c r="AT155" s="2" t="n">
        <v>2.177934606921583</v>
      </c>
      <c r="AU155" s="2" t="n">
        <v>284.4777450275828</v>
      </c>
      <c r="AV155" s="2" t="n">
        <v>1.0016691476266713e-10</v>
      </c>
      <c r="AW155" s="2" t="n">
        <v>-1.4031088972575142e-05</v>
      </c>
      <c r="AX155" s="2" t="n">
        <v>104</v>
      </c>
      <c r="AY155" s="2" t="n">
        <v>8.974886895884993e-07</v>
      </c>
      <c r="AZ155" s="2" t="s">
        <v>131</v>
      </c>
      <c r="BA155" s="2" t="n">
        <v>4.48</v>
      </c>
      <c r="BB155" s="2" t="s">
        <v>132</v>
      </c>
      <c r="BC155" s="2" t="n">
        <v>4</v>
      </c>
      <c r="BD155" s="2" t="s">
        <v>133</v>
      </c>
      <c r="BE155" s="2" t="n">
        <v>3000</v>
      </c>
      <c r="BF155" s="2" t="s">
        <v>134</v>
      </c>
      <c r="BG155" s="2" t="n">
        <v>120</v>
      </c>
    </row>
    <row r="156" customFormat="false" ht="15" hidden="false" customHeight="false" outlineLevel="0" collapsed="false">
      <c r="A156" s="2" t="s">
        <v>289</v>
      </c>
      <c r="B156" s="2" t="s">
        <v>128</v>
      </c>
      <c r="C156" s="2" t="s">
        <v>129</v>
      </c>
      <c r="D156" s="2" t="s">
        <v>285</v>
      </c>
      <c r="E156" s="2" t="n">
        <v>0</v>
      </c>
      <c r="F156" s="2" t="n">
        <v>750.5296095401541</v>
      </c>
      <c r="G156" s="2" t="n">
        <v>288.09102959418846</v>
      </c>
      <c r="H156" s="2" t="n">
        <v>289.1408470901188</v>
      </c>
      <c r="I156" s="2" t="n">
        <v>4.707045918844202</v>
      </c>
      <c r="J156" s="2" t="n">
        <v>0.003041623399834007</v>
      </c>
      <c r="K156" s="2" t="n">
        <v>0.0002534686166528339</v>
      </c>
      <c r="L156" s="2" t="n">
        <v>27.54609390621322</v>
      </c>
      <c r="M156" s="2" t="n">
        <v>0.722308447264888</v>
      </c>
      <c r="N156" s="2" t="n">
        <v>0.576686820044626</v>
      </c>
      <c r="O156" s="2" t="n">
        <v>5.198875</v>
      </c>
      <c r="P156" s="2" t="n">
        <v>3.7551913287742447</v>
      </c>
      <c r="Q156" s="2" t="n">
        <v>28.056939</v>
      </c>
      <c r="R156" s="2" t="n">
        <v>14.638132559327344</v>
      </c>
      <c r="S156" s="2" t="n">
        <v>52.13580926493941</v>
      </c>
      <c r="T156" s="2" t="n">
        <v>72.17942620269531</v>
      </c>
      <c r="U156" s="2" t="n">
        <v>0.0009008597080306829</v>
      </c>
      <c r="V156" s="2" t="n">
        <v>26.135409938028303</v>
      </c>
      <c r="W156" s="2" t="n">
        <v>7.97332742545247e-05</v>
      </c>
      <c r="X156" s="2" t="n">
        <v>487.0239173378726</v>
      </c>
      <c r="Y156" s="2" t="n">
        <v>271.3958805176535</v>
      </c>
      <c r="Z156" s="2" t="n">
        <v>23.58677449160797</v>
      </c>
      <c r="AA156" s="2" t="n">
        <v>307.1957195354892</v>
      </c>
      <c r="AB156" s="2" t="n">
        <v>19.104689941300762</v>
      </c>
      <c r="AC156" s="2" t="n">
        <v>242.8967568431012</v>
      </c>
      <c r="AD156" s="2" t="n">
        <v>0.6129428214392856</v>
      </c>
      <c r="AE156" s="2" t="n">
        <v>299.77440314922524</v>
      </c>
      <c r="AF156" s="2" t="n">
        <v>308.3191724179654</v>
      </c>
      <c r="AG156" s="2" t="n">
        <v>290.6880038215834</v>
      </c>
      <c r="AH156" s="2" t="n">
        <v>17.631168596381997</v>
      </c>
      <c r="AI156" s="2" t="n">
        <v>5.358579822870378</v>
      </c>
      <c r="AJ156" s="2" t="n">
        <v>307.22332011539413</v>
      </c>
      <c r="AK156" s="2" t="n">
        <v>307.88529343761576</v>
      </c>
      <c r="AL156" s="2" t="n">
        <v>308.2495822915352</v>
      </c>
      <c r="AM156" s="2" t="n">
        <v>8091137413.645203</v>
      </c>
      <c r="AN156" s="2" t="n">
        <v>8075663009.068204</v>
      </c>
      <c r="AO156" s="2" t="n">
        <v>299.9179053237011</v>
      </c>
      <c r="AP156" s="2" t="n">
        <v>257.14862835439675</v>
      </c>
      <c r="AQ156" s="2" t="n">
        <v>1.5291791648153046</v>
      </c>
      <c r="AR156" s="2" t="n">
        <v>11.192986590241441</v>
      </c>
      <c r="AS156" s="2" t="n">
        <v>1.5297420640074122</v>
      </c>
      <c r="AT156" s="2" t="n">
        <v>2.538396444479128</v>
      </c>
      <c r="AU156" s="2" t="n">
        <v>287.23843521339717</v>
      </c>
      <c r="AV156" s="2" t="n">
        <v>8.357005754078272e-11</v>
      </c>
      <c r="AW156" s="2" t="n">
        <v>-1.6317205563577736e-05</v>
      </c>
      <c r="AX156" s="2" t="n">
        <v>120</v>
      </c>
      <c r="AY156" s="2" t="n">
        <v>8.403433184867026e-07</v>
      </c>
      <c r="AZ156" s="2" t="s">
        <v>131</v>
      </c>
      <c r="BA156" s="2" t="n">
        <v>4.48</v>
      </c>
      <c r="BB156" s="2" t="s">
        <v>132</v>
      </c>
      <c r="BC156" s="2" t="n">
        <v>4</v>
      </c>
      <c r="BD156" s="2" t="s">
        <v>133</v>
      </c>
      <c r="BE156" s="2" t="n">
        <v>3000</v>
      </c>
      <c r="BF156" s="2" t="s">
        <v>134</v>
      </c>
      <c r="BG156" s="2" t="n">
        <v>120</v>
      </c>
    </row>
    <row r="157" customFormat="false" ht="15" hidden="false" customHeight="false" outlineLevel="0" collapsed="false">
      <c r="A157" s="2" t="s">
        <v>290</v>
      </c>
      <c r="B157" s="2" t="s">
        <v>128</v>
      </c>
      <c r="C157" s="2" t="s">
        <v>129</v>
      </c>
      <c r="D157" s="2" t="s">
        <v>285</v>
      </c>
      <c r="E157" s="2" t="n">
        <v>0</v>
      </c>
      <c r="F157" s="2" t="n">
        <v>752.7035408603059</v>
      </c>
      <c r="G157" s="2" t="n">
        <v>308.370338975068</v>
      </c>
      <c r="H157" s="2" t="n">
        <v>291.99904397446386</v>
      </c>
      <c r="I157" s="2" t="n">
        <v>4.561641313531132</v>
      </c>
      <c r="J157" s="2" t="n">
        <v>0.0035659800492308597</v>
      </c>
      <c r="K157" s="2" t="n">
        <v>0.00029716500410257164</v>
      </c>
      <c r="L157" s="2" t="n">
        <v>26.75201571440574</v>
      </c>
      <c r="M157" s="2" t="n">
        <v>0.518488522733044</v>
      </c>
      <c r="N157" s="2" t="n">
        <v>1.8541632549854499</v>
      </c>
      <c r="O157" s="2" t="n">
        <v>5.198875</v>
      </c>
      <c r="P157" s="2" t="n">
        <v>2.6955570186237545</v>
      </c>
      <c r="Q157" s="2" t="n">
        <v>28.056939</v>
      </c>
      <c r="R157" s="2" t="n">
        <v>7.542556680961535</v>
      </c>
      <c r="S157" s="2" t="n">
        <v>89.12244442395551</v>
      </c>
      <c r="T157" s="2" t="n">
        <v>171.88894356653344</v>
      </c>
      <c r="U157" s="2" t="n">
        <v>0.0006178451771103394</v>
      </c>
      <c r="V157" s="2" t="n">
        <v>27.923975193984525</v>
      </c>
      <c r="W157" s="2" t="n">
        <v>9.987596633597416e-05</v>
      </c>
      <c r="X157" s="2" t="n">
        <v>488.4345965890384</v>
      </c>
      <c r="Y157" s="2" t="n">
        <v>275.42998727003726</v>
      </c>
      <c r="Z157" s="2" t="n">
        <v>23.034236991418297</v>
      </c>
      <c r="AA157" s="2" t="n">
        <v>323.5851590298966</v>
      </c>
      <c r="AB157" s="2" t="n">
        <v>15.214820054828579</v>
      </c>
      <c r="AC157" s="2" t="n">
        <v>226.78901313089332</v>
      </c>
      <c r="AD157" s="2" t="n">
        <v>0.5706425209456438</v>
      </c>
      <c r="AE157" s="2" t="n">
        <v>317.79622247764723</v>
      </c>
      <c r="AF157" s="2" t="n">
        <v>324.67430295108295</v>
      </c>
      <c r="AG157" s="2" t="n">
        <v>310.53573702303515</v>
      </c>
      <c r="AH157" s="2" t="n">
        <v>14.138565928047797</v>
      </c>
      <c r="AI157" s="2" t="n">
        <v>4.287567428108055</v>
      </c>
      <c r="AJ157" s="2" t="n">
        <v>323.7371251351938</v>
      </c>
      <c r="AK157" s="2" t="n">
        <v>324.3343386541068</v>
      </c>
      <c r="AL157" s="2" t="n">
        <v>324.6224424096184</v>
      </c>
      <c r="AM157" s="2" t="n">
        <v>10211012249.462032</v>
      </c>
      <c r="AN157" s="2" t="n">
        <v>10199876713.179062</v>
      </c>
      <c r="AO157" s="2" t="n">
        <v>317.8829241013789</v>
      </c>
      <c r="AP157" s="2" t="n">
        <v>257.8934669990123</v>
      </c>
      <c r="AQ157" s="2" t="n">
        <v>3.6032001120002506</v>
      </c>
      <c r="AR157" s="2" t="n">
        <v>23.790115754206653</v>
      </c>
      <c r="AS157" s="2" t="n">
        <v>3.7111789197962755</v>
      </c>
      <c r="AT157" s="2" t="n">
        <v>2.283581148245792</v>
      </c>
      <c r="AU157" s="2" t="n">
        <v>291.15166913346815</v>
      </c>
      <c r="AV157" s="2" t="n">
        <v>9.645702903071652e-11</v>
      </c>
      <c r="AW157" s="2" t="n">
        <v>-1.7832164196347557e-05</v>
      </c>
      <c r="AX157" s="2" t="n">
        <v>110</v>
      </c>
      <c r="AY157" s="2" t="n">
        <v>8.898646228772122e-07</v>
      </c>
      <c r="AZ157" s="2" t="s">
        <v>131</v>
      </c>
      <c r="BA157" s="2" t="n">
        <v>4.48</v>
      </c>
      <c r="BB157" s="2" t="s">
        <v>132</v>
      </c>
      <c r="BC157" s="2" t="n">
        <v>4</v>
      </c>
      <c r="BD157" s="2" t="s">
        <v>133</v>
      </c>
      <c r="BE157" s="2" t="n">
        <v>3000</v>
      </c>
      <c r="BF157" s="2" t="s">
        <v>134</v>
      </c>
      <c r="BG157" s="2" t="n">
        <v>120</v>
      </c>
    </row>
    <row r="158" customFormat="false" ht="15" hidden="false" customHeight="false" outlineLevel="0" collapsed="false">
      <c r="A158" s="2" t="s">
        <v>291</v>
      </c>
      <c r="B158" s="2" t="s">
        <v>128</v>
      </c>
      <c r="C158" s="2" t="s">
        <v>129</v>
      </c>
      <c r="D158" s="2" t="s">
        <v>285</v>
      </c>
      <c r="E158" s="2" t="n">
        <v>0</v>
      </c>
      <c r="F158" s="2" t="n">
        <v>904.8476701097946</v>
      </c>
      <c r="G158" s="2" t="n">
        <v>330.2677826801027</v>
      </c>
      <c r="H158" s="2" t="n">
        <v>297.94940259513277</v>
      </c>
      <c r="I158" s="2" t="n">
        <v>0.49406515295648845</v>
      </c>
      <c r="J158" s="2" t="n">
        <v>0.002038001720948485</v>
      </c>
      <c r="K158" s="2" t="n">
        <v>0.0001698334767457071</v>
      </c>
      <c r="L158" s="2" t="n">
        <v>27.74319092217125</v>
      </c>
      <c r="M158" s="2" t="n">
        <v>0.7163896625604447</v>
      </c>
      <c r="N158" s="2" t="n">
        <v>1.8928515659161784</v>
      </c>
      <c r="O158" s="2" t="n">
        <v>5.198875</v>
      </c>
      <c r="P158" s="2" t="n">
        <v>3.724420306943932</v>
      </c>
      <c r="Q158" s="2" t="n">
        <v>28.056939</v>
      </c>
      <c r="R158" s="2" t="n">
        <v>14.39921806186557</v>
      </c>
      <c r="S158" s="2" t="n">
        <v>80.69778094712163</v>
      </c>
      <c r="T158" s="2" t="n">
        <v>112.64509409404386</v>
      </c>
      <c r="U158" s="2" t="n">
        <v>0.0003899696380888676</v>
      </c>
      <c r="V158" s="2" t="n">
        <v>5.460166993727628</v>
      </c>
      <c r="W158" s="2" t="n">
        <v>1.116131367089571e-05</v>
      </c>
      <c r="X158" s="2" t="n">
        <v>587.1619870679364</v>
      </c>
      <c r="Y158" s="2" t="n">
        <v>283.8918050700613</v>
      </c>
      <c r="Z158" s="2" t="n">
        <v>7.577447581234656</v>
      </c>
      <c r="AA158" s="2" t="n">
        <v>359.90527891798604</v>
      </c>
      <c r="AB158" s="2" t="n">
        <v>29.63749623788334</v>
      </c>
      <c r="AC158" s="2" t="n">
        <v>252.47730165037586</v>
      </c>
      <c r="AD158" s="2" t="n">
        <v>0.5284610034008755</v>
      </c>
      <c r="AE158" s="2" t="n">
        <v>347.6691417364657</v>
      </c>
      <c r="AF158" s="2" t="n">
        <v>360.76167905254937</v>
      </c>
      <c r="AG158" s="2" t="n">
        <v>333.38408586917365</v>
      </c>
      <c r="AH158" s="2" t="n">
        <v>27.377593183375723</v>
      </c>
      <c r="AI158" s="2" t="n">
        <v>8.32621518262424</v>
      </c>
      <c r="AJ158" s="2" t="n">
        <v>359.15458114526564</v>
      </c>
      <c r="AK158" s="2" t="n">
        <v>360.19187539558</v>
      </c>
      <c r="AL158" s="2" t="n">
        <v>360.683701064096</v>
      </c>
      <c r="AM158" s="2" t="n">
        <v>14660714178.547728</v>
      </c>
      <c r="AN158" s="2" t="n">
        <v>14610483290.351513</v>
      </c>
      <c r="AO158" s="2" t="n">
        <v>347.9675791555843</v>
      </c>
      <c r="AP158" s="2" t="n">
        <v>310.02152917187044</v>
      </c>
      <c r="AQ158" s="2" t="n">
        <v>7.815499923360512</v>
      </c>
      <c r="AR158" s="2" t="n">
        <v>42.57610534342917</v>
      </c>
      <c r="AS158" s="2" t="n">
        <v>7.152675544587729</v>
      </c>
      <c r="AT158" s="2" t="n">
        <v>2.1919921801473965</v>
      </c>
      <c r="AU158" s="2" t="n">
        <v>299.9845772000448</v>
      </c>
      <c r="AV158" s="2" t="n">
        <v>9.788891475182024e-11</v>
      </c>
      <c r="AW158" s="2" t="n">
        <v>-1.6653070368977418e-05</v>
      </c>
      <c r="AX158" s="2" t="n">
        <v>177</v>
      </c>
      <c r="AY158" s="2" t="n">
        <v>9.528812938697229e-07</v>
      </c>
      <c r="AZ158" s="2" t="s">
        <v>131</v>
      </c>
      <c r="BA158" s="2" t="n">
        <v>4.48</v>
      </c>
      <c r="BB158" s="2" t="s">
        <v>132</v>
      </c>
      <c r="BC158" s="2" t="n">
        <v>4</v>
      </c>
      <c r="BD158" s="2" t="s">
        <v>133</v>
      </c>
      <c r="BE158" s="2" t="n">
        <v>3000</v>
      </c>
      <c r="BF158" s="2" t="s">
        <v>134</v>
      </c>
      <c r="BG158" s="2" t="n">
        <v>120</v>
      </c>
    </row>
    <row r="159" customFormat="false" ht="15" hidden="false" customHeight="false" outlineLevel="0" collapsed="false">
      <c r="A159" s="2" t="s">
        <v>292</v>
      </c>
      <c r="B159" s="2" t="s">
        <v>128</v>
      </c>
      <c r="C159" s="2" t="s">
        <v>129</v>
      </c>
      <c r="D159" s="2" t="s">
        <v>285</v>
      </c>
      <c r="E159" s="2" t="n">
        <v>0</v>
      </c>
      <c r="F159" s="2" t="n">
        <v>976.0613353878628</v>
      </c>
      <c r="G159" s="2" t="n">
        <v>330.3353520294811</v>
      </c>
      <c r="H159" s="2" t="n">
        <v>311.1448752058567</v>
      </c>
      <c r="I159" s="2" t="n">
        <v>2.188219696293398</v>
      </c>
      <c r="J159" s="2" t="n">
        <v>0.004055141020598762</v>
      </c>
      <c r="K159" s="2" t="n">
        <v>0.00033792841838323017</v>
      </c>
      <c r="L159" s="2" t="n">
        <v>25.771221017867575</v>
      </c>
      <c r="M159" s="2" t="n">
        <v>0.7454726465389433</v>
      </c>
      <c r="N159" s="2" t="n">
        <v>1.0342351603648545</v>
      </c>
      <c r="O159" s="2" t="n">
        <v>5.198875</v>
      </c>
      <c r="P159" s="2" t="n">
        <v>3.875619105275149</v>
      </c>
      <c r="Q159" s="2" t="n">
        <v>28.056939</v>
      </c>
      <c r="R159" s="2" t="n">
        <v>15.592067748764316</v>
      </c>
      <c r="S159" s="2" t="n">
        <v>147.78603959875588</v>
      </c>
      <c r="T159" s="2" t="n">
        <v>198.24475154774922</v>
      </c>
      <c r="U159" s="2" t="n">
        <v>0.00042370188126160423</v>
      </c>
      <c r="V159" s="2" t="n">
        <v>12.9668378565082</v>
      </c>
      <c r="W159" s="2" t="n">
        <v>5.274057783287796e-05</v>
      </c>
      <c r="X159" s="2" t="n">
        <v>633.3730329625319</v>
      </c>
      <c r="Y159" s="2" t="n">
        <v>302.9584401496421</v>
      </c>
      <c r="Z159" s="2" t="n">
        <v>14.015234845914915</v>
      </c>
      <c r="AA159" s="2" t="n">
        <v>347.9560114117263</v>
      </c>
      <c r="AB159" s="2" t="n">
        <v>17.620659382245208</v>
      </c>
      <c r="AC159" s="2" t="n">
        <v>298.67880124453336</v>
      </c>
      <c r="AD159" s="2" t="n">
        <v>0.5795532793918418</v>
      </c>
      <c r="AE159" s="2" t="n">
        <v>341.3723183389767</v>
      </c>
      <c r="AF159" s="2" t="n">
        <v>349.37188563284815</v>
      </c>
      <c r="AG159" s="2" t="n">
        <v>332.9572658317878</v>
      </c>
      <c r="AH159" s="2" t="n">
        <v>16.414619801060326</v>
      </c>
      <c r="AI159" s="2" t="n">
        <v>4.964841144049668</v>
      </c>
      <c r="AJ159" s="2" t="n">
        <v>348.242132440396</v>
      </c>
      <c r="AK159" s="2" t="n">
        <v>348.94896722720415</v>
      </c>
      <c r="AL159" s="2" t="n">
        <v>349.3129477667396</v>
      </c>
      <c r="AM159" s="2" t="n">
        <v>13597649166.51775</v>
      </c>
      <c r="AN159" s="2" t="n">
        <v>13580420145.838278</v>
      </c>
      <c r="AO159" s="2" t="n">
        <v>341.48053875134406</v>
      </c>
      <c r="AP159" s="2" t="n">
        <v>334.4209614042168</v>
      </c>
      <c r="AQ159" s="2" t="n">
        <v>4.945317747139082</v>
      </c>
      <c r="AR159" s="2" t="n">
        <v>26.448386318803955</v>
      </c>
      <c r="AS159" s="2" t="n">
        <v>4.348516243399746</v>
      </c>
      <c r="AT159" s="2" t="n">
        <v>2.2394710942899554</v>
      </c>
      <c r="AU159" s="2" t="n">
        <v>311.75054400968526</v>
      </c>
      <c r="AV159" s="2" t="n">
        <v>9.164068615064024e-11</v>
      </c>
      <c r="AW159" s="2" t="n">
        <v>-1.5956644320914803e-05</v>
      </c>
      <c r="AX159" s="2" t="n">
        <v>103</v>
      </c>
      <c r="AY159" s="2" t="n">
        <v>9.958435498447216e-07</v>
      </c>
      <c r="AZ159" s="2" t="s">
        <v>131</v>
      </c>
      <c r="BA159" s="2" t="n">
        <v>4.48</v>
      </c>
      <c r="BB159" s="2" t="s">
        <v>132</v>
      </c>
      <c r="BC159" s="2" t="n">
        <v>4</v>
      </c>
      <c r="BD159" s="2" t="s">
        <v>133</v>
      </c>
      <c r="BE159" s="2" t="n">
        <v>3000</v>
      </c>
      <c r="BF159" s="2" t="s">
        <v>134</v>
      </c>
      <c r="BG159" s="2" t="n">
        <v>120</v>
      </c>
    </row>
    <row r="160" customFormat="false" ht="15" hidden="false" customHeight="false" outlineLevel="0" collapsed="false">
      <c r="A160" s="2" t="s">
        <v>293</v>
      </c>
      <c r="B160" s="2" t="s">
        <v>128</v>
      </c>
      <c r="C160" s="2" t="s">
        <v>129</v>
      </c>
      <c r="D160" s="2" t="s">
        <v>285</v>
      </c>
      <c r="E160" s="2" t="n">
        <v>0</v>
      </c>
      <c r="F160" s="2" t="n">
        <v>853.6739958281371</v>
      </c>
      <c r="G160" s="2" t="n">
        <v>323.0570571675325</v>
      </c>
      <c r="H160" s="2" t="n">
        <v>306.771543602992</v>
      </c>
      <c r="I160" s="2" t="n">
        <v>3.96702151100095</v>
      </c>
      <c r="J160" s="2" t="n">
        <v>0.0013300254684142684</v>
      </c>
      <c r="K160" s="2" t="n">
        <v>0.00011083545570118903</v>
      </c>
      <c r="L160" s="2" t="n">
        <v>36.02720209587796</v>
      </c>
      <c r="M160" s="2" t="n">
        <v>0.9589980584137747</v>
      </c>
      <c r="N160" s="2" t="n">
        <v>0.8615435197441346</v>
      </c>
      <c r="O160" s="2" t="n">
        <v>5.198875</v>
      </c>
      <c r="P160" s="2" t="n">
        <v>4.985711030935913</v>
      </c>
      <c r="Q160" s="2" t="n">
        <v>28.056939</v>
      </c>
      <c r="R160" s="2" t="n">
        <v>25.803329233579426</v>
      </c>
      <c r="S160" s="2" t="n">
        <v>52.530379667840236</v>
      </c>
      <c r="T160" s="2" t="n">
        <v>54.77631493303314</v>
      </c>
      <c r="U160" s="2" t="n">
        <v>0.0003909644408782853</v>
      </c>
      <c r="V160" s="2" t="n">
        <v>2.3410718862592628</v>
      </c>
      <c r="W160" s="2" t="n">
        <v>3.123054395299349e-06</v>
      </c>
      <c r="X160" s="2" t="n">
        <v>553.9550316108489</v>
      </c>
      <c r="Y160" s="2" t="n">
        <v>296.5935383357575</v>
      </c>
      <c r="Z160" s="2" t="n">
        <v>20.774681741803608</v>
      </c>
      <c r="AA160" s="2" t="n">
        <v>366.75039002753925</v>
      </c>
      <c r="AB160" s="2" t="n">
        <v>43.69333286000676</v>
      </c>
      <c r="AC160" s="2" t="n">
        <v>242.91336620551218</v>
      </c>
      <c r="AD160" s="2" t="n">
        <v>0.5389214100691272</v>
      </c>
      <c r="AE160" s="2" t="n">
        <v>348.66170472954207</v>
      </c>
      <c r="AF160" s="2" t="n">
        <v>367.32598256461404</v>
      </c>
      <c r="AG160" s="2" t="n">
        <v>327.3738129475401</v>
      </c>
      <c r="AH160" s="2" t="n">
        <v>39.952169617073935</v>
      </c>
      <c r="AI160" s="2" t="n">
        <v>12.171062126877386</v>
      </c>
      <c r="AJ160" s="2" t="n">
        <v>365.2564072323489</v>
      </c>
      <c r="AK160" s="2" t="n">
        <v>366.59504566881685</v>
      </c>
      <c r="AL160" s="2" t="n">
        <v>367.2414558096123</v>
      </c>
      <c r="AM160" s="2" t="n">
        <v>14885868896.3681</v>
      </c>
      <c r="AN160" s="2" t="n">
        <v>14778045418.778305</v>
      </c>
      <c r="AO160" s="2" t="n">
        <v>349.29594783066545</v>
      </c>
      <c r="AP160" s="2" t="n">
        <v>292.4882566905282</v>
      </c>
      <c r="AQ160" s="2" t="n">
        <v>7.0422899692309455</v>
      </c>
      <c r="AR160" s="2" t="n">
        <v>36.5063448024797</v>
      </c>
      <c r="AS160" s="2" t="n">
        <v>6.026313416427986</v>
      </c>
      <c r="AT160" s="2" t="n">
        <v>2.2413816398594433</v>
      </c>
      <c r="AU160" s="2" t="n">
        <v>307.7751759904511</v>
      </c>
      <c r="AV160" s="2" t="n">
        <v>8.474160040350399e-11</v>
      </c>
      <c r="AW160" s="2" t="n">
        <v>-2.006268616566711e-05</v>
      </c>
      <c r="AX160" s="2" t="n">
        <v>247</v>
      </c>
      <c r="AY160" s="2" t="n">
        <v>9.55521386458713e-07</v>
      </c>
      <c r="AZ160" s="2" t="s">
        <v>131</v>
      </c>
      <c r="BA160" s="2" t="n">
        <v>4.48</v>
      </c>
      <c r="BB160" s="2" t="s">
        <v>132</v>
      </c>
      <c r="BC160" s="2" t="n">
        <v>4</v>
      </c>
      <c r="BD160" s="2" t="s">
        <v>133</v>
      </c>
      <c r="BE160" s="2" t="n">
        <v>3000</v>
      </c>
      <c r="BF160" s="2" t="s">
        <v>134</v>
      </c>
      <c r="BG160" s="2" t="n">
        <v>120</v>
      </c>
    </row>
    <row r="161" customFormat="false" ht="15" hidden="false" customHeight="false" outlineLevel="0" collapsed="false">
      <c r="A161" s="2" t="s">
        <v>294</v>
      </c>
      <c r="B161" s="2" t="s">
        <v>128</v>
      </c>
      <c r="C161" s="2" t="s">
        <v>129</v>
      </c>
      <c r="D161" s="2" t="s">
        <v>285</v>
      </c>
      <c r="E161" s="2" t="n">
        <v>0</v>
      </c>
      <c r="F161" s="2" t="n">
        <v>824.5508425708031</v>
      </c>
      <c r="G161" s="2" t="n">
        <v>300.7589069821375</v>
      </c>
      <c r="H161" s="2" t="n">
        <v>301.7084103701508</v>
      </c>
      <c r="I161" s="2" t="n">
        <v>4.049271608546458</v>
      </c>
      <c r="J161" s="2" t="n">
        <v>0.001016299701749308</v>
      </c>
      <c r="K161" s="2" t="n">
        <v>8.469164181244234e-05</v>
      </c>
      <c r="L161" s="2" t="n">
        <v>25.913601854685783</v>
      </c>
      <c r="M161" s="2" t="n">
        <v>0.5573418282120861</v>
      </c>
      <c r="N161" s="2" t="n">
        <v>1.2189629953138037</v>
      </c>
      <c r="O161" s="2" t="n">
        <v>5.198875</v>
      </c>
      <c r="P161" s="2" t="n">
        <v>2.8975504971461095</v>
      </c>
      <c r="Q161" s="2" t="n">
        <v>28.056939</v>
      </c>
      <c r="R161" s="2" t="n">
        <v>8.715324533937476</v>
      </c>
      <c r="S161" s="2" t="n">
        <v>31.943722851626795</v>
      </c>
      <c r="T161" s="2" t="n">
        <v>57.314418611106284</v>
      </c>
      <c r="U161" s="2" t="n">
        <v>0.0004912743734853819</v>
      </c>
      <c r="V161" s="2" t="n">
        <v>6.713788138817759</v>
      </c>
      <c r="W161" s="2" t="n">
        <v>6.8437521395070514e-06</v>
      </c>
      <c r="X161" s="2" t="n">
        <v>535.0568136000919</v>
      </c>
      <c r="Y161" s="2" t="n">
        <v>289.2811949202156</v>
      </c>
      <c r="Z161" s="2" t="n">
        <v>21.08723211247654</v>
      </c>
      <c r="AA161" s="2" t="n">
        <v>357.9978144883351</v>
      </c>
      <c r="AB161" s="2" t="n">
        <v>57.23890750619762</v>
      </c>
      <c r="AC161" s="2" t="n">
        <v>243.1584777408804</v>
      </c>
      <c r="AD161" s="2" t="n">
        <v>0.5585191308857873</v>
      </c>
      <c r="AE161" s="2" t="n">
        <v>334.6415705175737</v>
      </c>
      <c r="AF161" s="2" t="n">
        <v>358.4416120251568</v>
      </c>
      <c r="AG161" s="2" t="n">
        <v>306.62159059058246</v>
      </c>
      <c r="AH161" s="2" t="n">
        <v>51.82002143457436</v>
      </c>
      <c r="AI161" s="2" t="n">
        <v>15.817036077399223</v>
      </c>
      <c r="AJ161" s="2" t="n">
        <v>355.99855560453165</v>
      </c>
      <c r="AK161" s="2" t="n">
        <v>357.61251766862244</v>
      </c>
      <c r="AL161" s="2" t="n">
        <v>358.37664282791974</v>
      </c>
      <c r="AM161" s="2" t="n">
        <v>12708146667.500618</v>
      </c>
      <c r="AN161" s="2" t="n">
        <v>12540635906.515707</v>
      </c>
      <c r="AO161" s="2" t="n">
        <v>335.7535046628813</v>
      </c>
      <c r="AP161" s="2" t="n">
        <v>282.50999758084856</v>
      </c>
      <c r="AQ161" s="2" t="n">
        <v>5.258868905325173</v>
      </c>
      <c r="AR161" s="2" t="n">
        <v>29.354825942332898</v>
      </c>
      <c r="AS161" s="2" t="n">
        <v>4.737760359579947</v>
      </c>
      <c r="AT161" s="2" t="n">
        <v>2.2630501689688405</v>
      </c>
      <c r="AU161" s="2" t="n">
        <v>301.76462978258445</v>
      </c>
      <c r="AV161" s="2" t="n">
        <v>9.866994332696778e-11</v>
      </c>
      <c r="AW161" s="2" t="n">
        <v>2.2883258013812316e-05</v>
      </c>
      <c r="AX161" s="2" t="n">
        <v>345</v>
      </c>
      <c r="AY161" s="2" t="n">
        <v>9.91706428976613e-07</v>
      </c>
      <c r="AZ161" s="2" t="s">
        <v>131</v>
      </c>
      <c r="BA161" s="2" t="n">
        <v>4.48</v>
      </c>
      <c r="BB161" s="2" t="s">
        <v>132</v>
      </c>
      <c r="BC161" s="2" t="n">
        <v>4</v>
      </c>
      <c r="BD161" s="2" t="s">
        <v>133</v>
      </c>
      <c r="BE161" s="2" t="n">
        <v>3000</v>
      </c>
      <c r="BF161" s="2" t="s">
        <v>134</v>
      </c>
      <c r="BG161" s="2" t="n">
        <v>120</v>
      </c>
    </row>
    <row r="162" customFormat="false" ht="15" hidden="false" customHeight="false" outlineLevel="0" collapsed="false">
      <c r="A162" s="2" t="s">
        <v>295</v>
      </c>
      <c r="B162" s="2" t="s">
        <v>128</v>
      </c>
      <c r="C162" s="2" t="s">
        <v>129</v>
      </c>
      <c r="D162" s="2" t="s">
        <v>285</v>
      </c>
      <c r="E162" s="2" t="n">
        <v>0</v>
      </c>
      <c r="F162" s="2" t="n">
        <v>901.3440616144976</v>
      </c>
      <c r="G162" s="2" t="n">
        <v>301.95778470743284</v>
      </c>
      <c r="H162" s="2" t="n">
        <v>302.8938470755615</v>
      </c>
      <c r="I162" s="2" t="n">
        <v>3.059405341709876</v>
      </c>
      <c r="J162" s="2" t="n">
        <v>0.00392011975438753</v>
      </c>
      <c r="K162" s="2" t="n">
        <v>0.00032667664619896085</v>
      </c>
      <c r="L162" s="2" t="n">
        <v>30.292230791671805</v>
      </c>
      <c r="M162" s="2" t="n">
        <v>0.7972371215877769</v>
      </c>
      <c r="N162" s="2" t="n">
        <v>0.5180602101491205</v>
      </c>
      <c r="O162" s="2" t="n">
        <v>5.198875</v>
      </c>
      <c r="P162" s="2" t="n">
        <v>4.144736140494654</v>
      </c>
      <c r="Q162" s="2" t="n">
        <v>28.056939</v>
      </c>
      <c r="R162" s="2" t="n">
        <v>17.832626474841213</v>
      </c>
      <c r="S162" s="2" t="n">
        <v>89.06898999629979</v>
      </c>
      <c r="T162" s="2" t="n">
        <v>111.7220806513752</v>
      </c>
      <c r="U162" s="2" t="n">
        <v>0.000679611389058947</v>
      </c>
      <c r="V162" s="2" t="n">
        <v>20.025581153563753</v>
      </c>
      <c r="W162" s="2" t="n">
        <v>7.873889295203198e-05</v>
      </c>
      <c r="X162" s="2" t="n">
        <v>584.8884709900786</v>
      </c>
      <c r="Y162" s="2" t="n">
        <v>290.9877822698524</v>
      </c>
      <c r="Z162" s="2" t="n">
        <v>17.32574029849753</v>
      </c>
      <c r="AA162" s="2" t="n">
        <v>319.9503076827822</v>
      </c>
      <c r="AB162" s="2" t="n">
        <v>17.992522975349345</v>
      </c>
      <c r="AC162" s="2" t="n">
        <v>294.8272910422028</v>
      </c>
      <c r="AD162" s="2" t="n">
        <v>0.6195026346688048</v>
      </c>
      <c r="AE162" s="2" t="n">
        <v>313.30520423770287</v>
      </c>
      <c r="AF162" s="2" t="n">
        <v>321.4325708300708</v>
      </c>
      <c r="AG162" s="2" t="n">
        <v>304.7233690896648</v>
      </c>
      <c r="AH162" s="2" t="n">
        <v>16.709201740406</v>
      </c>
      <c r="AI162" s="2" t="n">
        <v>5.056670373106004</v>
      </c>
      <c r="AJ162" s="2" t="n">
        <v>320.30412338637797</v>
      </c>
      <c r="AK162" s="2" t="n">
        <v>321.0367298890407</v>
      </c>
      <c r="AL162" s="2" t="n">
        <v>321.37447115776206</v>
      </c>
      <c r="AM162" s="2" t="n">
        <v>9650468855.384836</v>
      </c>
      <c r="AN162" s="2" t="n">
        <v>9635415244.819605</v>
      </c>
      <c r="AO162" s="2" t="n">
        <v>313.4275034262821</v>
      </c>
      <c r="AP162" s="2" t="n">
        <v>308.82111268276157</v>
      </c>
      <c r="AQ162" s="2" t="n">
        <v>1.6908818183591108</v>
      </c>
      <c r="AR162" s="2" t="n">
        <v>10.805204016046</v>
      </c>
      <c r="AS162" s="2" t="n">
        <v>1.4977765580775197</v>
      </c>
      <c r="AT162" s="2" t="n">
        <v>2.5456287459996108</v>
      </c>
      <c r="AU162" s="2" t="n">
        <v>301.2035466512169</v>
      </c>
      <c r="AV162" s="2" t="n">
        <v>8.233342896346583e-11</v>
      </c>
      <c r="AW162" s="2" t="n">
        <v>-1.426183184865553e-05</v>
      </c>
      <c r="AX162" s="2" t="n">
        <v>102</v>
      </c>
      <c r="AY162" s="2" t="n">
        <v>8.467546877000132e-07</v>
      </c>
      <c r="AZ162" s="2" t="s">
        <v>131</v>
      </c>
      <c r="BA162" s="2" t="n">
        <v>4.48</v>
      </c>
      <c r="BB162" s="2" t="s">
        <v>132</v>
      </c>
      <c r="BC162" s="2" t="n">
        <v>4</v>
      </c>
      <c r="BD162" s="2" t="s">
        <v>133</v>
      </c>
      <c r="BE162" s="2" t="n">
        <v>3000</v>
      </c>
      <c r="BF162" s="2" t="s">
        <v>134</v>
      </c>
      <c r="BG162" s="2" t="n">
        <v>120</v>
      </c>
    </row>
    <row r="163" customFormat="false" ht="15" hidden="false" customHeight="false" outlineLevel="0" collapsed="false">
      <c r="A163" s="2" t="s">
        <v>296</v>
      </c>
      <c r="B163" s="2" t="s">
        <v>128</v>
      </c>
      <c r="C163" s="2" t="s">
        <v>129</v>
      </c>
      <c r="D163" s="2" t="s">
        <v>285</v>
      </c>
      <c r="E163" s="2" t="n">
        <v>0</v>
      </c>
      <c r="F163" s="2" t="n">
        <v>928.9456810647171</v>
      </c>
      <c r="G163" s="2" t="n">
        <v>291.59030031696295</v>
      </c>
      <c r="H163" s="2" t="n">
        <v>312.76070787117067</v>
      </c>
      <c r="I163" s="2" t="n">
        <v>4.812675917127515</v>
      </c>
      <c r="J163" s="2" t="n">
        <v>0.002317334309788612</v>
      </c>
      <c r="K163" s="2" t="n">
        <v>0.00019311119248238435</v>
      </c>
      <c r="L163" s="2" t="n">
        <v>29.621934738630102</v>
      </c>
      <c r="M163" s="2" t="n">
        <v>0.38001983501300113</v>
      </c>
      <c r="N163" s="2" t="n">
        <v>1.4188691471028188</v>
      </c>
      <c r="O163" s="2" t="n">
        <v>5.198875</v>
      </c>
      <c r="P163" s="2" t="n">
        <v>1.9756756197532164</v>
      </c>
      <c r="Q163" s="2" t="n">
        <v>28.056939</v>
      </c>
      <c r="R163" s="2" t="n">
        <v>4.051844950048254</v>
      </c>
      <c r="S163" s="2" t="n">
        <v>49.682619440516845</v>
      </c>
      <c r="T163" s="2" t="n">
        <v>130.73691124258585</v>
      </c>
      <c r="U163" s="2" t="n">
        <v>0.0007202313942781132</v>
      </c>
      <c r="V163" s="2" t="n">
        <v>50.033169949955976</v>
      </c>
      <c r="W163" s="2" t="n">
        <v>0.00011629245872870367</v>
      </c>
      <c r="X163" s="2" t="n">
        <v>602.7993550626624</v>
      </c>
      <c r="Y163" s="2" t="n">
        <v>305.32147995322066</v>
      </c>
      <c r="Z163" s="2" t="n">
        <v>23.988168485084554</v>
      </c>
      <c r="AA163" s="2" t="n">
        <v>324.47798453945546</v>
      </c>
      <c r="AB163" s="2" t="n">
        <v>32.88768422249251</v>
      </c>
      <c r="AC163" s="2" t="n">
        <v>318.56515269639164</v>
      </c>
      <c r="AD163" s="2" t="n">
        <v>0.6494923271902066</v>
      </c>
      <c r="AE163" s="2" t="n">
        <v>311.1836948702962</v>
      </c>
      <c r="AF163" s="2" t="n">
        <v>325.7089135037718</v>
      </c>
      <c r="AG163" s="2" t="n">
        <v>295.4644229039982</v>
      </c>
      <c r="AH163" s="2" t="n">
        <v>30.2444905997736</v>
      </c>
      <c r="AI163" s="2" t="n">
        <v>9.205088423725924</v>
      </c>
      <c r="AJ163" s="2" t="n">
        <v>323.90395187108237</v>
      </c>
      <c r="AK163" s="2" t="n">
        <v>325.06802904922233</v>
      </c>
      <c r="AL163" s="2" t="n">
        <v>325.6279978825121</v>
      </c>
      <c r="AM163" s="2" t="n">
        <v>9426256716.974674</v>
      </c>
      <c r="AN163" s="2" t="n">
        <v>9377073767.64785</v>
      </c>
      <c r="AO163" s="2" t="n">
        <v>311.5909360053799</v>
      </c>
      <c r="AP163" s="2" t="n">
        <v>318.27805947308576</v>
      </c>
      <c r="AQ163" s="2" t="n">
        <v>0.04193234672955041</v>
      </c>
      <c r="AR163" s="2" t="n">
        <v>-0.10211069544021507</v>
      </c>
      <c r="AS163" s="2" t="n">
        <v>-0.2268688959285911</v>
      </c>
      <c r="AT163" s="2" t="n">
        <v>0.34478927253645636</v>
      </c>
      <c r="AU163" s="2" t="n">
        <v>311.2980572340517</v>
      </c>
      <c r="AV163" s="2" t="n">
        <v>8.519720040567333e-11</v>
      </c>
      <c r="AW163" s="2" t="n">
        <v>-1.465207163638769e-05</v>
      </c>
      <c r="AX163" s="2" t="n">
        <v>149</v>
      </c>
      <c r="AY163" s="2" t="n">
        <v>9.064017945092928e-07</v>
      </c>
      <c r="AZ163" s="2" t="s">
        <v>131</v>
      </c>
      <c r="BA163" s="2" t="n">
        <v>4.48</v>
      </c>
      <c r="BB163" s="2" t="s">
        <v>132</v>
      </c>
      <c r="BC163" s="2" t="n">
        <v>4</v>
      </c>
      <c r="BD163" s="2" t="s">
        <v>133</v>
      </c>
      <c r="BE163" s="2" t="n">
        <v>3000</v>
      </c>
      <c r="BF163" s="2" t="s">
        <v>134</v>
      </c>
      <c r="BG163" s="2" t="n">
        <v>120</v>
      </c>
    </row>
    <row r="164" customFormat="false" ht="15" hidden="false" customHeight="false" outlineLevel="0" collapsed="false">
      <c r="A164" s="2" t="s">
        <v>297</v>
      </c>
      <c r="B164" s="2" t="s">
        <v>128</v>
      </c>
      <c r="C164" s="2" t="s">
        <v>129</v>
      </c>
      <c r="D164" s="2" t="s">
        <v>285</v>
      </c>
      <c r="E164" s="2" t="n">
        <v>0</v>
      </c>
      <c r="F164" s="2" t="n">
        <v>771.8174733830637</v>
      </c>
      <c r="G164" s="2" t="n">
        <v>291.94279192024027</v>
      </c>
      <c r="H164" s="2" t="n">
        <v>311.8715512665953</v>
      </c>
      <c r="I164" s="2" t="n">
        <v>1.5762318209862358</v>
      </c>
      <c r="J164" s="2" t="n">
        <v>0.0034095096554271815</v>
      </c>
      <c r="K164" s="2" t="n">
        <v>0.0002841258046189318</v>
      </c>
      <c r="L164" s="2" t="n">
        <v>35.87332746500598</v>
      </c>
      <c r="M164" s="2" t="n">
        <v>0.9518801654980772</v>
      </c>
      <c r="N164" s="2" t="n">
        <v>1.9606799146600045</v>
      </c>
      <c r="O164" s="2" t="n">
        <v>5.198875</v>
      </c>
      <c r="P164" s="2" t="n">
        <v>4.948705995403816</v>
      </c>
      <c r="Q164" s="2" t="n">
        <v>28.056939</v>
      </c>
      <c r="R164" s="2" t="n">
        <v>25.421714837914998</v>
      </c>
      <c r="S164" s="2" t="n">
        <v>63.63696479550042</v>
      </c>
      <c r="T164" s="2" t="n">
        <v>66.85396660429622</v>
      </c>
      <c r="U164" s="2" t="n">
        <v>0.0008273138763029315</v>
      </c>
      <c r="V164" s="2" t="n">
        <v>12.41385657917273</v>
      </c>
      <c r="W164" s="2" t="n">
        <v>4.245252143207389e-05</v>
      </c>
      <c r="X164" s="2" t="n">
        <v>500.8377612005836</v>
      </c>
      <c r="Y164" s="2" t="n">
        <v>304.0203946660905</v>
      </c>
      <c r="Z164" s="2" t="n">
        <v>11.689680919747696</v>
      </c>
      <c r="AA164" s="2" t="n">
        <v>310.94078477886006</v>
      </c>
      <c r="AB164" s="2" t="n">
        <v>18.997992858619796</v>
      </c>
      <c r="AC164" s="2" t="n">
        <v>270.75465155613955</v>
      </c>
      <c r="AD164" s="2" t="n">
        <v>0.6643965942191107</v>
      </c>
      <c r="AE164" s="2" t="n">
        <v>303.7179199095768</v>
      </c>
      <c r="AF164" s="2" t="n">
        <v>312.2432594591759</v>
      </c>
      <c r="AG164" s="2" t="n">
        <v>294.6950187365416</v>
      </c>
      <c r="AH164" s="2" t="n">
        <v>17.54824072263426</v>
      </c>
      <c r="AI164" s="2" t="n">
        <v>5.324559430644133</v>
      </c>
      <c r="AJ164" s="2" t="n">
        <v>311.11696639486877</v>
      </c>
      <c r="AK164" s="2" t="n">
        <v>311.8015358476141</v>
      </c>
      <c r="AL164" s="2" t="n">
        <v>312.17686632313234</v>
      </c>
      <c r="AM164" s="2" t="n">
        <v>8524745843.676052</v>
      </c>
      <c r="AN164" s="2" t="n">
        <v>8509061593.721908</v>
      </c>
      <c r="AO164" s="2" t="n">
        <v>303.8577795929863</v>
      </c>
      <c r="AP164" s="2" t="n">
        <v>264.44233791390815</v>
      </c>
      <c r="AQ164" s="2" t="n">
        <v>-0.6668422863559208</v>
      </c>
      <c r="AR164" s="2" t="n">
        <v>-4.472453386687508</v>
      </c>
      <c r="AS164" s="2" t="n">
        <v>-1.1729804020320727</v>
      </c>
      <c r="AT164" s="2" t="n">
        <v>1.4662349756139395</v>
      </c>
      <c r="AU164" s="2" t="n">
        <v>308.72699695956453</v>
      </c>
      <c r="AV164" s="2" t="n">
        <v>9.450445759284775e-11</v>
      </c>
      <c r="AW164" s="2" t="n">
        <v>-1.5909953206774593e-05</v>
      </c>
      <c r="AX164" s="2" t="n">
        <v>111</v>
      </c>
      <c r="AY164" s="2" t="n">
        <v>8.309867780553759e-07</v>
      </c>
      <c r="AZ164" s="2" t="s">
        <v>131</v>
      </c>
      <c r="BA164" s="2" t="n">
        <v>4.48</v>
      </c>
      <c r="BB164" s="2" t="s">
        <v>132</v>
      </c>
      <c r="BC164" s="2" t="n">
        <v>4</v>
      </c>
      <c r="BD164" s="2" t="s">
        <v>133</v>
      </c>
      <c r="BE164" s="2" t="n">
        <v>3000</v>
      </c>
      <c r="BF164" s="2" t="s">
        <v>134</v>
      </c>
      <c r="BG164" s="2" t="n">
        <v>120</v>
      </c>
    </row>
    <row r="165" customFormat="false" ht="15" hidden="false" customHeight="false" outlineLevel="0" collapsed="false">
      <c r="A165" s="2" t="s">
        <v>298</v>
      </c>
      <c r="B165" s="2" t="s">
        <v>128</v>
      </c>
      <c r="C165" s="2" t="s">
        <v>129</v>
      </c>
      <c r="D165" s="2" t="s">
        <v>285</v>
      </c>
      <c r="E165" s="2" t="n">
        <v>0</v>
      </c>
      <c r="F165" s="2" t="n">
        <v>562.924600032789</v>
      </c>
      <c r="G165" s="2" t="n">
        <v>299.7791555313195</v>
      </c>
      <c r="H165" s="2" t="n">
        <v>303.8651219233999</v>
      </c>
      <c r="I165" s="2" t="n">
        <v>2.1664994111482425</v>
      </c>
      <c r="J165" s="2" t="n">
        <v>0.00407094533307417</v>
      </c>
      <c r="K165" s="2" t="n">
        <v>0.0003392454444228475</v>
      </c>
      <c r="L165" s="2" t="n">
        <v>36.8832382999269</v>
      </c>
      <c r="M165" s="2" t="n">
        <v>0.9116754511866948</v>
      </c>
      <c r="N165" s="2" t="n">
        <v>1.881367714064413</v>
      </c>
      <c r="O165" s="2" t="n">
        <v>5.198875</v>
      </c>
      <c r="P165" s="2" t="n">
        <v>4.739686711288228</v>
      </c>
      <c r="Q165" s="2" t="n">
        <v>28.056939</v>
      </c>
      <c r="R165" s="2" t="n">
        <v>23.319584563334047</v>
      </c>
      <c r="S165" s="2" t="n">
        <v>82.46446175195138</v>
      </c>
      <c r="T165" s="2" t="n">
        <v>90.45374825505107</v>
      </c>
      <c r="U165" s="2" t="n">
        <v>0.0007622830857543612</v>
      </c>
      <c r="V165" s="2" t="n">
        <v>14.567019512533216</v>
      </c>
      <c r="W165" s="2" t="n">
        <v>5.947998004147188e-05</v>
      </c>
      <c r="X165" s="2" t="n">
        <v>365.285713433477</v>
      </c>
      <c r="Y165" s="2" t="n">
        <v>292.3885480940689</v>
      </c>
      <c r="Z165" s="2" t="n">
        <v>13.932697762363322</v>
      </c>
      <c r="AA165" s="2" t="n">
        <v>310.75919004026423</v>
      </c>
      <c r="AB165" s="2" t="n">
        <v>10.980034508944755</v>
      </c>
      <c r="AC165" s="2" t="n">
        <v>186.84232260814068</v>
      </c>
      <c r="AD165" s="2" t="n">
        <v>0.6286242157867655</v>
      </c>
      <c r="AE165" s="2" t="n">
        <v>306.75213844693855</v>
      </c>
      <c r="AF165" s="2" t="n">
        <v>311.7157525415231</v>
      </c>
      <c r="AG165" s="2" t="n">
        <v>301.528197077527</v>
      </c>
      <c r="AH165" s="2" t="n">
        <v>10.187555463996091</v>
      </c>
      <c r="AI165" s="2" t="n">
        <v>3.0847828765843026</v>
      </c>
      <c r="AJ165" s="2" t="n">
        <v>311.02107595013484</v>
      </c>
      <c r="AK165" s="2" t="n">
        <v>311.4589054887913</v>
      </c>
      <c r="AL165" s="2" t="n">
        <v>311.6788969207937</v>
      </c>
      <c r="AM165" s="2" t="n">
        <v>8859592666.766409</v>
      </c>
      <c r="AN165" s="2" t="n">
        <v>8854221779.710182</v>
      </c>
      <c r="AO165" s="2" t="n">
        <v>306.7986461044467</v>
      </c>
      <c r="AP165" s="2" t="n">
        <v>192.87085669287586</v>
      </c>
      <c r="AQ165" s="2" t="n">
        <v>0.7374967404401084</v>
      </c>
      <c r="AR165" s="2" t="n">
        <v>4.875769238681926</v>
      </c>
      <c r="AS165" s="2" t="n">
        <v>0.4153258412325237</v>
      </c>
      <c r="AT165" s="2" t="n">
        <v>3.954836454067643</v>
      </c>
      <c r="AU165" s="2" t="n">
        <v>301.29135402217184</v>
      </c>
      <c r="AV165" s="2" t="n">
        <v>7.771234322717644e-11</v>
      </c>
      <c r="AW165" s="2" t="n">
        <v>-2.617811641726378e-05</v>
      </c>
      <c r="AX165" s="2" t="n">
        <v>100</v>
      </c>
      <c r="AY165" s="2" t="n">
        <v>9.738947710502543e-07</v>
      </c>
      <c r="AZ165" s="2" t="s">
        <v>131</v>
      </c>
      <c r="BA165" s="2" t="n">
        <v>4.48</v>
      </c>
      <c r="BB165" s="2" t="s">
        <v>132</v>
      </c>
      <c r="BC165" s="2" t="n">
        <v>4</v>
      </c>
      <c r="BD165" s="2" t="s">
        <v>133</v>
      </c>
      <c r="BE165" s="2" t="n">
        <v>3000</v>
      </c>
      <c r="BF165" s="2" t="s">
        <v>134</v>
      </c>
      <c r="BG165" s="2" t="n">
        <v>120</v>
      </c>
    </row>
    <row r="166" customFormat="false" ht="15" hidden="false" customHeight="false" outlineLevel="0" collapsed="false">
      <c r="A166" s="2" t="s">
        <v>299</v>
      </c>
      <c r="B166" s="2" t="s">
        <v>128</v>
      </c>
      <c r="C166" s="2" t="s">
        <v>129</v>
      </c>
      <c r="D166" s="2" t="s">
        <v>285</v>
      </c>
      <c r="E166" s="2" t="n">
        <v>0</v>
      </c>
      <c r="F166" s="2" t="n">
        <v>838.4220336863228</v>
      </c>
      <c r="G166" s="2" t="n">
        <v>293.95984013715275</v>
      </c>
      <c r="H166" s="2" t="n">
        <v>299.6206455704648</v>
      </c>
      <c r="I166" s="2" t="n">
        <v>4.134651374192369</v>
      </c>
      <c r="J166" s="2" t="n">
        <v>0.004115655094195177</v>
      </c>
      <c r="K166" s="2" t="n">
        <v>0.0003429712578495981</v>
      </c>
      <c r="L166" s="2" t="n">
        <v>34.18477798000709</v>
      </c>
      <c r="M166" s="2" t="n">
        <v>0.9316976972565207</v>
      </c>
      <c r="N166" s="2" t="n">
        <v>0.8271843176286602</v>
      </c>
      <c r="O166" s="2" t="n">
        <v>5.198875</v>
      </c>
      <c r="P166" s="2" t="n">
        <v>4.843779865824495</v>
      </c>
      <c r="Q166" s="2" t="n">
        <v>28.056939</v>
      </c>
      <c r="R166" s="2" t="n">
        <v>24.355123276497515</v>
      </c>
      <c r="S166" s="2" t="n">
        <v>77.90899153446156</v>
      </c>
      <c r="T166" s="2" t="n">
        <v>83.62046161954953</v>
      </c>
      <c r="U166" s="2" t="n">
        <v>0.0008157164696940628</v>
      </c>
      <c r="V166" s="2" t="n">
        <v>16.14230647415043</v>
      </c>
      <c r="W166" s="2" t="n">
        <v>6.663607409468105e-05</v>
      </c>
      <c r="X166" s="2" t="n">
        <v>544.0579266132905</v>
      </c>
      <c r="Y166" s="2" t="n">
        <v>286.2837391295052</v>
      </c>
      <c r="Z166" s="2" t="n">
        <v>21.411675221931002</v>
      </c>
      <c r="AA166" s="2" t="n">
        <v>310.21781277560547</v>
      </c>
      <c r="AB166" s="2" t="n">
        <v>16.257972638452713</v>
      </c>
      <c r="AC166" s="2" t="n">
        <v>279.6930290668669</v>
      </c>
      <c r="AD166" s="2" t="n">
        <v>0.6318078779858962</v>
      </c>
      <c r="AE166" s="2" t="n">
        <v>304.32897736765807</v>
      </c>
      <c r="AF166" s="2" t="n">
        <v>311.6656140452453</v>
      </c>
      <c r="AG166" s="2" t="n">
        <v>296.6040989522073</v>
      </c>
      <c r="AH166" s="2" t="n">
        <v>15.061515093037997</v>
      </c>
      <c r="AI166" s="2" t="n">
        <v>4.557230196805042</v>
      </c>
      <c r="AJ166" s="2" t="n">
        <v>310.6381865487657</v>
      </c>
      <c r="AK166" s="2" t="n">
        <v>311.2962903619606</v>
      </c>
      <c r="AL166" s="2" t="n">
        <v>311.61050193549426</v>
      </c>
      <c r="AM166" s="2" t="n">
        <v>8589283651.012646</v>
      </c>
      <c r="AN166" s="2" t="n">
        <v>8577746881.500262</v>
      </c>
      <c r="AO166" s="2" t="n">
        <v>304.4312537551303</v>
      </c>
      <c r="AP166" s="2" t="n">
        <v>287.2625852518174</v>
      </c>
      <c r="AQ166" s="2" t="n">
        <v>0.8873202735032698</v>
      </c>
      <c r="AR166" s="2" t="n">
        <v>6.004954336578253</v>
      </c>
      <c r="AS166" s="2" t="n">
        <v>0.6773400320114007</v>
      </c>
      <c r="AT166" s="2" t="n">
        <v>3.044874760496149</v>
      </c>
      <c r="AU166" s="2" t="n">
        <v>297.60352349415064</v>
      </c>
      <c r="AV166" s="2" t="n">
        <v>7.419771463901271e-11</v>
      </c>
      <c r="AW166" s="2" t="n">
        <v>-1.759650802746278e-05</v>
      </c>
      <c r="AX166" s="2" t="n">
        <v>98</v>
      </c>
      <c r="AY166" s="2" t="n">
        <v>9.749050491336675e-07</v>
      </c>
      <c r="AZ166" s="2" t="s">
        <v>131</v>
      </c>
      <c r="BA166" s="2" t="n">
        <v>4.48</v>
      </c>
      <c r="BB166" s="2" t="s">
        <v>132</v>
      </c>
      <c r="BC166" s="2" t="n">
        <v>4</v>
      </c>
      <c r="BD166" s="2" t="s">
        <v>133</v>
      </c>
      <c r="BE166" s="2" t="n">
        <v>3000</v>
      </c>
      <c r="BF166" s="2" t="s">
        <v>134</v>
      </c>
      <c r="BG166" s="2" t="n">
        <v>120</v>
      </c>
    </row>
    <row r="167" customFormat="false" ht="15" hidden="false" customHeight="false" outlineLevel="0" collapsed="false">
      <c r="A167" s="2" t="s">
        <v>300</v>
      </c>
      <c r="B167" s="2" t="s">
        <v>128</v>
      </c>
      <c r="C167" s="2" t="s">
        <v>129</v>
      </c>
      <c r="D167" s="2" t="s">
        <v>285</v>
      </c>
      <c r="E167" s="2" t="n">
        <v>0</v>
      </c>
      <c r="F167" s="2" t="n">
        <v>798.0382816002146</v>
      </c>
      <c r="G167" s="2" t="n">
        <v>318.1956130841734</v>
      </c>
      <c r="H167" s="2" t="n">
        <v>303.0469146489685</v>
      </c>
      <c r="I167" s="2" t="n">
        <v>3.1966450121689083</v>
      </c>
      <c r="J167" s="2" t="n">
        <v>0.0026454515377392056</v>
      </c>
      <c r="K167" s="2" t="n">
        <v>0.00022045429481160048</v>
      </c>
      <c r="L167" s="2" t="n">
        <v>35.53790413595273</v>
      </c>
      <c r="M167" s="2" t="n">
        <v>0.887172994831354</v>
      </c>
      <c r="N167" s="2" t="n">
        <v>1.9889681639490555</v>
      </c>
      <c r="O167" s="2" t="n">
        <v>5.198875</v>
      </c>
      <c r="P167" s="2" t="n">
        <v>4.612301503503856</v>
      </c>
      <c r="Q167" s="2" t="n">
        <v>28.056939</v>
      </c>
      <c r="R167" s="2" t="n">
        <v>22.082941153190863</v>
      </c>
      <c r="S167" s="2" t="n">
        <v>82.70982221217207</v>
      </c>
      <c r="T167" s="2" t="n">
        <v>93.22851652838541</v>
      </c>
      <c r="U167" s="2" t="n">
        <v>0.000493890376884352</v>
      </c>
      <c r="V167" s="2" t="n">
        <v>6.348671739992793</v>
      </c>
      <c r="W167" s="2" t="n">
        <v>1.684564033817991e-05</v>
      </c>
      <c r="X167" s="2" t="n">
        <v>517.8526271983503</v>
      </c>
      <c r="Y167" s="2" t="n">
        <v>291.2083863900321</v>
      </c>
      <c r="Z167" s="2" t="n">
        <v>17.84725104624185</v>
      </c>
      <c r="AA167" s="2" t="n">
        <v>339.87183975799195</v>
      </c>
      <c r="AB167" s="2" t="n">
        <v>21.676226673818576</v>
      </c>
      <c r="AC167" s="2" t="n">
        <v>239.69544204014238</v>
      </c>
      <c r="AD167" s="2" t="n">
        <v>0.5688557186971671</v>
      </c>
      <c r="AE167" s="2" t="n">
        <v>331.1790118621491</v>
      </c>
      <c r="AF167" s="2" t="n">
        <v>340.84034253814457</v>
      </c>
      <c r="AG167" s="2" t="n">
        <v>320.79550481266295</v>
      </c>
      <c r="AH167" s="2" t="n">
        <v>20.044837725481614</v>
      </c>
      <c r="AI167" s="2" t="n">
        <v>6.086456188049266</v>
      </c>
      <c r="AJ167" s="2" t="n">
        <v>339.6133997443391</v>
      </c>
      <c r="AK167" s="2" t="n">
        <v>340.3920809225647</v>
      </c>
      <c r="AL167" s="2" t="n">
        <v>340.7807039746339</v>
      </c>
      <c r="AM167" s="2" t="n">
        <v>12053964379.84064</v>
      </c>
      <c r="AN167" s="2" t="n">
        <v>12029601033.51651</v>
      </c>
      <c r="AO167" s="2" t="n">
        <v>331.3465674651376</v>
      </c>
      <c r="AP167" s="2" t="n">
        <v>273.426187160729</v>
      </c>
      <c r="AQ167" s="2" t="n">
        <v>4.34421001133006</v>
      </c>
      <c r="AR167" s="2" t="n">
        <v>25.339504341617705</v>
      </c>
      <c r="AS167" s="2" t="n">
        <v>4.047080037622408</v>
      </c>
      <c r="AT167" s="2" t="n">
        <v>2.270857607476085</v>
      </c>
      <c r="AU167" s="2" t="n">
        <v>302.799167807548</v>
      </c>
      <c r="AV167" s="2" t="n">
        <v>9.951605761671092e-11</v>
      </c>
      <c r="AW167" s="2" t="n">
        <v>-1.83721939886758e-05</v>
      </c>
      <c r="AX167" s="2" t="n">
        <v>140</v>
      </c>
      <c r="AY167" s="2" t="n">
        <v>9.64452738116961e-07</v>
      </c>
      <c r="AZ167" s="2" t="s">
        <v>131</v>
      </c>
      <c r="BA167" s="2" t="n">
        <v>4.48</v>
      </c>
      <c r="BB167" s="2" t="s">
        <v>132</v>
      </c>
      <c r="BC167" s="2" t="n">
        <v>4</v>
      </c>
      <c r="BD167" s="2" t="s">
        <v>133</v>
      </c>
      <c r="BE167" s="2" t="n">
        <v>3000</v>
      </c>
      <c r="BF167" s="2" t="s">
        <v>134</v>
      </c>
      <c r="BG167" s="2" t="n">
        <v>120</v>
      </c>
    </row>
    <row r="168" customFormat="false" ht="15" hidden="false" customHeight="false" outlineLevel="0" collapsed="false">
      <c r="A168" s="2" t="s">
        <v>301</v>
      </c>
      <c r="B168" s="2" t="s">
        <v>128</v>
      </c>
      <c r="C168" s="2" t="s">
        <v>129</v>
      </c>
      <c r="D168" s="2" t="s">
        <v>285</v>
      </c>
      <c r="E168" s="2" t="n">
        <v>0</v>
      </c>
      <c r="F168" s="2" t="n">
        <v>419.67766139420814</v>
      </c>
      <c r="G168" s="2" t="n">
        <v>290.5577996847044</v>
      </c>
      <c r="H168" s="2" t="n">
        <v>297.10667679223724</v>
      </c>
      <c r="I168" s="2" t="n">
        <v>1.1536383617017183</v>
      </c>
      <c r="J168" s="2" t="n">
        <v>0.0044400039265955794</v>
      </c>
      <c r="K168" s="2" t="n">
        <v>0.00037000032721629827</v>
      </c>
      <c r="L168" s="2" t="n">
        <v>25.513787548873577</v>
      </c>
      <c r="M168" s="2" t="n">
        <v>0.536873852766715</v>
      </c>
      <c r="N168" s="2" t="n">
        <v>1.7530438682578398</v>
      </c>
      <c r="O168" s="2" t="n">
        <v>5.198875</v>
      </c>
      <c r="P168" s="2" t="n">
        <v>2.791140051302555</v>
      </c>
      <c r="Q168" s="2" t="n">
        <v>28.056939</v>
      </c>
      <c r="R168" s="2" t="n">
        <v>8.086950675148298</v>
      </c>
      <c r="S168" s="2" t="n">
        <v>70.47689391299294</v>
      </c>
      <c r="T168" s="2" t="n">
        <v>131.27272551978217</v>
      </c>
      <c r="U168" s="2" t="n">
        <v>0.000972801967554485</v>
      </c>
      <c r="V168" s="2" t="n">
        <v>52.5020823582523</v>
      </c>
      <c r="W168" s="2" t="n">
        <v>0.00023381088447852028</v>
      </c>
      <c r="X168" s="2" t="n">
        <v>272.3317722223314</v>
      </c>
      <c r="Y168" s="2" t="n">
        <v>282.6882096058014</v>
      </c>
      <c r="Z168" s="2" t="n">
        <v>10.08382577446653</v>
      </c>
      <c r="AA168" s="2" t="n">
        <v>298.17293894541115</v>
      </c>
      <c r="AB168" s="2" t="n">
        <v>7.615139260706769</v>
      </c>
      <c r="AC168" s="2" t="n">
        <v>141.33101755588072</v>
      </c>
      <c r="AD168" s="2" t="n">
        <v>0.6378046924046186</v>
      </c>
      <c r="AE168" s="2" t="n">
        <v>295.48201972658126</v>
      </c>
      <c r="AF168" s="2" t="n">
        <v>298.9524662300676</v>
      </c>
      <c r="AG168" s="2" t="n">
        <v>291.8601641502887</v>
      </c>
      <c r="AH168" s="2" t="n">
        <v>7.092302079778904</v>
      </c>
      <c r="AI168" s="2" t="n">
        <v>2.14658318264303</v>
      </c>
      <c r="AJ168" s="2" t="n">
        <v>298.4596293585978</v>
      </c>
      <c r="AK168" s="2" t="n">
        <v>298.7754030474044</v>
      </c>
      <c r="AL168" s="2" t="n">
        <v>298.9238109181716</v>
      </c>
      <c r="AM168" s="2" t="n">
        <v>7625383744.459195</v>
      </c>
      <c r="AN168" s="2" t="n">
        <v>7622970439.825801</v>
      </c>
      <c r="AO168" s="2" t="n">
        <v>295.50540311405615</v>
      </c>
      <c r="AP168" s="2" t="n">
        <v>143.791175733391</v>
      </c>
      <c r="AQ168" s="2" t="n">
        <v>0.3246284235414504</v>
      </c>
      <c r="AR168" s="2" t="n">
        <v>2.3692941010007016</v>
      </c>
      <c r="AS168" s="2" t="n">
        <v>-0.23372296521561542</v>
      </c>
      <c r="AT168" s="2" t="n">
        <v>-2.867922459579206</v>
      </c>
      <c r="AU168" s="2" t="n">
        <v>292.8284478098074</v>
      </c>
      <c r="AV168" s="2" t="n">
        <v>9.033897185872773e-11</v>
      </c>
      <c r="AW168" s="2" t="n">
        <v>-2.9893594153908063e-05</v>
      </c>
      <c r="AX168" s="2" t="n">
        <v>93</v>
      </c>
      <c r="AY168" s="2" t="n">
        <v>8.324756208821782e-07</v>
      </c>
      <c r="AZ168" s="2" t="s">
        <v>131</v>
      </c>
      <c r="BA168" s="2" t="n">
        <v>4.48</v>
      </c>
      <c r="BB168" s="2" t="s">
        <v>132</v>
      </c>
      <c r="BC168" s="2" t="n">
        <v>4</v>
      </c>
      <c r="BD168" s="2" t="s">
        <v>133</v>
      </c>
      <c r="BE168" s="2" t="n">
        <v>3000</v>
      </c>
      <c r="BF168" s="2" t="s">
        <v>134</v>
      </c>
      <c r="BG168" s="2" t="n">
        <v>120</v>
      </c>
    </row>
    <row r="169" customFormat="false" ht="15" hidden="false" customHeight="false" outlineLevel="0" collapsed="false">
      <c r="A169" s="2" t="s">
        <v>302</v>
      </c>
      <c r="B169" s="2" t="s">
        <v>128</v>
      </c>
      <c r="C169" s="2" t="s">
        <v>129</v>
      </c>
      <c r="D169" s="2" t="s">
        <v>285</v>
      </c>
      <c r="E169" s="2" t="n">
        <v>0</v>
      </c>
      <c r="F169" s="2" t="n">
        <v>420.62734038751023</v>
      </c>
      <c r="G169" s="2" t="n">
        <v>296.0346824353978</v>
      </c>
      <c r="H169" s="2" t="n">
        <v>295.0860820936869</v>
      </c>
      <c r="I169" s="2" t="n">
        <v>0.7148942807234453</v>
      </c>
      <c r="J169" s="2" t="n">
        <v>0.0011535632406231052</v>
      </c>
      <c r="K169" s="2" t="n">
        <v>9.613027005192543e-05</v>
      </c>
      <c r="L169" s="2" t="n">
        <v>23.09827031633141</v>
      </c>
      <c r="M169" s="2" t="n">
        <v>0.9040517563473457</v>
      </c>
      <c r="N169" s="2" t="n">
        <v>0.8473214639426637</v>
      </c>
      <c r="O169" s="2" t="n">
        <v>5.198875</v>
      </c>
      <c r="P169" s="2" t="n">
        <v>4.700052074780308</v>
      </c>
      <c r="Q169" s="2" t="n">
        <v>28.056939</v>
      </c>
      <c r="R169" s="2" t="n">
        <v>22.931204978402732</v>
      </c>
      <c r="S169" s="2" t="n">
        <v>25.09624437566228</v>
      </c>
      <c r="T169" s="2" t="n">
        <v>27.759742956596885</v>
      </c>
      <c r="U169" s="2" t="n">
        <v>0.0007097747007500281</v>
      </c>
      <c r="V169" s="2" t="n">
        <v>4.201391309588119</v>
      </c>
      <c r="W169" s="2" t="n">
        <v>4.861154036323191e-06</v>
      </c>
      <c r="X169" s="2" t="n">
        <v>272.94802556883803</v>
      </c>
      <c r="Y169" s="2" t="n">
        <v>279.809314218778</v>
      </c>
      <c r="Z169" s="2" t="n">
        <v>8.416598266749093</v>
      </c>
      <c r="AA169" s="2" t="n">
        <v>321.48980508867294</v>
      </c>
      <c r="AB169" s="2" t="n">
        <v>25.45512265327511</v>
      </c>
      <c r="AC169" s="2" t="n">
        <v>122.74191199358933</v>
      </c>
      <c r="AD169" s="2" t="n">
        <v>0.5526643660346422</v>
      </c>
      <c r="AE169" s="2" t="n">
        <v>310.9973410587027</v>
      </c>
      <c r="AF169" s="2" t="n">
        <v>321.75615482738334</v>
      </c>
      <c r="AG169" s="2" t="n">
        <v>298.6118252928171</v>
      </c>
      <c r="AH169" s="2" t="n">
        <v>23.144329534566225</v>
      </c>
      <c r="AI169" s="2" t="n">
        <v>7.067958072471081</v>
      </c>
      <c r="AJ169" s="2" t="n">
        <v>320.6059855554715</v>
      </c>
      <c r="AK169" s="2" t="n">
        <v>321.36378736328857</v>
      </c>
      <c r="AL169" s="2" t="n">
        <v>321.7224516001876</v>
      </c>
      <c r="AM169" s="2" t="n">
        <v>9383575825.530617</v>
      </c>
      <c r="AN169" s="2" t="n">
        <v>9354631918.829113</v>
      </c>
      <c r="AO169" s="2" t="n">
        <v>311.23762450074196</v>
      </c>
      <c r="AP169" s="2" t="n">
        <v>144.1165575003465</v>
      </c>
      <c r="AQ169" s="2" t="n">
        <v>2.470789050248676</v>
      </c>
      <c r="AR169" s="2" t="n">
        <v>16.614923419754838</v>
      </c>
      <c r="AS169" s="2" t="n">
        <v>2.2889917535399893</v>
      </c>
      <c r="AT169" s="2" t="n">
        <v>2.5442539302355476</v>
      </c>
      <c r="AU169" s="2" t="n">
        <v>292.38888963539125</v>
      </c>
      <c r="AV169" s="2" t="n">
        <v>8.949285756898463e-11</v>
      </c>
      <c r="AW169" s="2" t="n">
        <v>-4.1270587353635715e-05</v>
      </c>
      <c r="AX169" s="2" t="n">
        <v>298</v>
      </c>
      <c r="AY169" s="2" t="n">
        <v>9.869244195215288e-07</v>
      </c>
      <c r="AZ169" s="2" t="s">
        <v>131</v>
      </c>
      <c r="BA169" s="2" t="n">
        <v>4.48</v>
      </c>
      <c r="BB169" s="2" t="s">
        <v>132</v>
      </c>
      <c r="BC169" s="2" t="n">
        <v>4</v>
      </c>
      <c r="BD169" s="2" t="s">
        <v>133</v>
      </c>
      <c r="BE169" s="2" t="n">
        <v>3000</v>
      </c>
      <c r="BF169" s="2" t="s">
        <v>134</v>
      </c>
      <c r="BG169" s="2" t="n">
        <v>120</v>
      </c>
    </row>
    <row r="170" customFormat="false" ht="15" hidden="false" customHeight="false" outlineLevel="0" collapsed="false">
      <c r="A170" s="2" t="s">
        <v>303</v>
      </c>
      <c r="B170" s="2" t="s">
        <v>128</v>
      </c>
      <c r="C170" s="2" t="s">
        <v>129</v>
      </c>
      <c r="D170" s="2" t="s">
        <v>285</v>
      </c>
      <c r="E170" s="2" t="n">
        <v>0</v>
      </c>
      <c r="F170" s="2" t="n">
        <v>833.3940397409776</v>
      </c>
      <c r="G170" s="2" t="n">
        <v>323.26131588705084</v>
      </c>
      <c r="H170" s="2" t="n">
        <v>298.58867496754783</v>
      </c>
      <c r="I170" s="2" t="n">
        <v>1.8711517102065234</v>
      </c>
      <c r="J170" s="2" t="n">
        <v>0.0033296958711766023</v>
      </c>
      <c r="K170" s="2" t="n">
        <v>0.00027747465593138353</v>
      </c>
      <c r="L170" s="2" t="n">
        <v>21.255356230959027</v>
      </c>
      <c r="M170" s="2" t="n">
        <v>0.47941310137200444</v>
      </c>
      <c r="N170" s="2" t="n">
        <v>1.2506909313589545</v>
      </c>
      <c r="O170" s="2" t="n">
        <v>5.198875</v>
      </c>
      <c r="P170" s="2" t="n">
        <v>2.4924087873953797</v>
      </c>
      <c r="Q170" s="2" t="n">
        <v>28.056939</v>
      </c>
      <c r="R170" s="2" t="n">
        <v>6.448520493967963</v>
      </c>
      <c r="S170" s="2" t="n">
        <v>109.09468444808893</v>
      </c>
      <c r="T170" s="2" t="n">
        <v>227.5588300275425</v>
      </c>
      <c r="U170" s="2" t="n">
        <v>0.0004712906444315773</v>
      </c>
      <c r="V170" s="2" t="n">
        <v>29.37399251202728</v>
      </c>
      <c r="W170" s="2" t="n">
        <v>9.810076387890638e-05</v>
      </c>
      <c r="X170" s="2" t="n">
        <v>540.7952261461984</v>
      </c>
      <c r="Y170" s="2" t="n">
        <v>284.80596112286304</v>
      </c>
      <c r="Z170" s="2" t="n">
        <v>12.810376498784787</v>
      </c>
      <c r="AA170" s="2" t="n">
        <v>340.7635248741546</v>
      </c>
      <c r="AB170" s="2" t="n">
        <v>17.502208987103756</v>
      </c>
      <c r="AC170" s="2" t="n">
        <v>243.59799794346688</v>
      </c>
      <c r="AD170" s="2" t="n">
        <v>0.5535914856474039</v>
      </c>
      <c r="AE170" s="2" t="n">
        <v>333.949432786105</v>
      </c>
      <c r="AF170" s="2" t="n">
        <v>341.85577071894056</v>
      </c>
      <c r="AG170" s="2" t="n">
        <v>325.5887862421582</v>
      </c>
      <c r="AH170" s="2" t="n">
        <v>16.26698447678234</v>
      </c>
      <c r="AI170" s="2" t="n">
        <v>4.935515296547004</v>
      </c>
      <c r="AJ170" s="2" t="n">
        <v>340.8086878422816</v>
      </c>
      <c r="AK170" s="2" t="n">
        <v>341.44430926382677</v>
      </c>
      <c r="AL170" s="2" t="n">
        <v>341.7912482760537</v>
      </c>
      <c r="AM170" s="2" t="n">
        <v>12453498870.29003</v>
      </c>
      <c r="AN170" s="2" t="n">
        <v>12437206369.66094</v>
      </c>
      <c r="AO170" s="2" t="n">
        <v>334.0587459315571</v>
      </c>
      <c r="AP170" s="2" t="n">
        <v>285.5398794051928</v>
      </c>
      <c r="AQ170" s="2" t="n">
        <v>5.3551643031467915</v>
      </c>
      <c r="AR170" s="2" t="n">
        <v>31.499776453023863</v>
      </c>
      <c r="AS170" s="2" t="n">
        <v>5.086994261331963</v>
      </c>
      <c r="AT170" s="2" t="n">
        <v>2.246427578387807</v>
      </c>
      <c r="AU170" s="2" t="n">
        <v>298.67018140693045</v>
      </c>
      <c r="AV170" s="2" t="n">
        <v>9.469971473663463e-11</v>
      </c>
      <c r="AW170" s="2" t="n">
        <v>-1.7781286691555798e-05</v>
      </c>
      <c r="AX170" s="2" t="n">
        <v>118</v>
      </c>
      <c r="AY170" s="2" t="n">
        <v>9.72079249095259e-07</v>
      </c>
      <c r="AZ170" s="2" t="s">
        <v>131</v>
      </c>
      <c r="BA170" s="2" t="n">
        <v>4.48</v>
      </c>
      <c r="BB170" s="2" t="s">
        <v>132</v>
      </c>
      <c r="BC170" s="2" t="n">
        <v>4</v>
      </c>
      <c r="BD170" s="2" t="s">
        <v>133</v>
      </c>
      <c r="BE170" s="2" t="n">
        <v>3000</v>
      </c>
      <c r="BF170" s="2" t="s">
        <v>134</v>
      </c>
      <c r="BG170" s="2" t="n">
        <v>120</v>
      </c>
    </row>
    <row r="171" customFormat="false" ht="15" hidden="false" customHeight="false" outlineLevel="0" collapsed="false">
      <c r="A171" s="2" t="s">
        <v>304</v>
      </c>
      <c r="B171" s="2" t="s">
        <v>128</v>
      </c>
      <c r="C171" s="2" t="s">
        <v>129</v>
      </c>
      <c r="D171" s="2" t="s">
        <v>285</v>
      </c>
      <c r="E171" s="2" t="n">
        <v>0</v>
      </c>
      <c r="F171" s="2" t="n">
        <v>843.7684152486023</v>
      </c>
      <c r="G171" s="2" t="n">
        <v>318.67625783289697</v>
      </c>
      <c r="H171" s="2" t="n">
        <v>291.06401622014175</v>
      </c>
      <c r="I171" s="2" t="n">
        <v>1.0038396397859009</v>
      </c>
      <c r="J171" s="2" t="n">
        <v>0.0018824696054904277</v>
      </c>
      <c r="K171" s="2" t="n">
        <v>0.00015687246712420231</v>
      </c>
      <c r="L171" s="2" t="n">
        <v>30.579805720022197</v>
      </c>
      <c r="M171" s="2" t="n">
        <v>0.5878372187125208</v>
      </c>
      <c r="N171" s="2" t="n">
        <v>1.3795245135427758</v>
      </c>
      <c r="O171" s="2" t="n">
        <v>5.198875</v>
      </c>
      <c r="P171" s="2" t="n">
        <v>3.056092220434057</v>
      </c>
      <c r="Q171" s="2" t="n">
        <v>28.056939</v>
      </c>
      <c r="R171" s="2" t="n">
        <v>9.69514809894959</v>
      </c>
      <c r="S171" s="2" t="n">
        <v>63.280785533264975</v>
      </c>
      <c r="T171" s="2" t="n">
        <v>107.65018532147784</v>
      </c>
      <c r="U171" s="2" t="n">
        <v>0.0004593502453750324</v>
      </c>
      <c r="V171" s="2" t="n">
        <v>9.768395720693334</v>
      </c>
      <c r="W171" s="2" t="n">
        <v>1.844404015908522e-05</v>
      </c>
      <c r="X171" s="2" t="n">
        <v>547.5272310337248</v>
      </c>
      <c r="Y171" s="2" t="n">
        <v>274.1080904482044</v>
      </c>
      <c r="Z171" s="2" t="n">
        <v>9.514590631186422</v>
      </c>
      <c r="AA171" s="2" t="n">
        <v>348.69927822645013</v>
      </c>
      <c r="AB171" s="2" t="n">
        <v>30.023020393553168</v>
      </c>
      <c r="AC171" s="2" t="n">
        <v>236.24282962759133</v>
      </c>
      <c r="AD171" s="2" t="n">
        <v>0.5302753616767939</v>
      </c>
      <c r="AE171" s="2" t="n">
        <v>336.30117132107597</v>
      </c>
      <c r="AF171" s="2" t="n">
        <v>349.4704484372214</v>
      </c>
      <c r="AG171" s="2" t="n">
        <v>321.80641673832497</v>
      </c>
      <c r="AH171" s="2" t="n">
        <v>27.66403169889645</v>
      </c>
      <c r="AI171" s="2" t="n">
        <v>8.415719345403877</v>
      </c>
      <c r="AJ171" s="2" t="n">
        <v>347.8809227608702</v>
      </c>
      <c r="AK171" s="2" t="n">
        <v>348.90839998954954</v>
      </c>
      <c r="AL171" s="2" t="n">
        <v>349.3992061076558</v>
      </c>
      <c r="AM171" s="2" t="n">
        <v>12839274242.600208</v>
      </c>
      <c r="AN171" s="2" t="n">
        <v>12791265687.899048</v>
      </c>
      <c r="AO171" s="2" t="n">
        <v>336.6162820237401</v>
      </c>
      <c r="AP171" s="2" t="n">
        <v>289.0943779858067</v>
      </c>
      <c r="AQ171" s="2" t="n">
        <v>6.651132292592541</v>
      </c>
      <c r="AR171" s="2" t="n">
        <v>39.692657380667534</v>
      </c>
      <c r="AS171" s="2" t="n">
        <v>6.507811557043901</v>
      </c>
      <c r="AT171" s="2" t="n">
        <v>2.212730425752383</v>
      </c>
      <c r="AU171" s="2" t="n">
        <v>291.84602289396423</v>
      </c>
      <c r="AV171" s="2" t="n">
        <v>9.522040045339962e-11</v>
      </c>
      <c r="AW171" s="2" t="n">
        <v>-1.8019443883693966e-05</v>
      </c>
      <c r="AX171" s="2" t="n">
        <v>188</v>
      </c>
      <c r="AY171" s="2" t="n">
        <v>9.566701351104712e-07</v>
      </c>
      <c r="AZ171" s="2" t="s">
        <v>131</v>
      </c>
      <c r="BA171" s="2" t="n">
        <v>4.48</v>
      </c>
      <c r="BB171" s="2" t="s">
        <v>132</v>
      </c>
      <c r="BC171" s="2" t="n">
        <v>4</v>
      </c>
      <c r="BD171" s="2" t="s">
        <v>133</v>
      </c>
      <c r="BE171" s="2" t="n">
        <v>3000</v>
      </c>
      <c r="BF171" s="2" t="s">
        <v>134</v>
      </c>
      <c r="BG171" s="2" t="n">
        <v>120</v>
      </c>
    </row>
    <row r="172" customFormat="false" ht="15" hidden="false" customHeight="false" outlineLevel="0" collapsed="false">
      <c r="A172" s="2" t="s">
        <v>305</v>
      </c>
      <c r="B172" s="2" t="s">
        <v>128</v>
      </c>
      <c r="C172" s="2" t="s">
        <v>129</v>
      </c>
      <c r="D172" s="2" t="s">
        <v>285</v>
      </c>
      <c r="E172" s="2" t="n">
        <v>0</v>
      </c>
      <c r="F172" s="2" t="n">
        <v>412.9220497852431</v>
      </c>
      <c r="G172" s="2" t="n">
        <v>294.2961977224101</v>
      </c>
      <c r="H172" s="2" t="n">
        <v>297.58100765129586</v>
      </c>
      <c r="I172" s="2" t="n">
        <v>1.089179494414088</v>
      </c>
      <c r="J172" s="2" t="n">
        <v>0.004212618070204632</v>
      </c>
      <c r="K172" s="2" t="n">
        <v>0.00035105150585038595</v>
      </c>
      <c r="L172" s="2" t="n">
        <v>35.14611779220589</v>
      </c>
      <c r="M172" s="2" t="n">
        <v>0.4659905763965939</v>
      </c>
      <c r="N172" s="2" t="n">
        <v>1.5668394198669648</v>
      </c>
      <c r="O172" s="2" t="n">
        <v>5.198875</v>
      </c>
      <c r="P172" s="2" t="n">
        <v>2.422626757863842</v>
      </c>
      <c r="Q172" s="2" t="n">
        <v>28.056939</v>
      </c>
      <c r="R172" s="2" t="n">
        <v>6.092486229537332</v>
      </c>
      <c r="S172" s="2" t="n">
        <v>73.04454050106449</v>
      </c>
      <c r="T172" s="2" t="n">
        <v>156.75111086130198</v>
      </c>
      <c r="U172" s="2" t="n">
        <v>0.0008905374065084376</v>
      </c>
      <c r="V172" s="2" t="n">
        <v>65.63345920486327</v>
      </c>
      <c r="W172" s="2" t="n">
        <v>0.00027732065823113893</v>
      </c>
      <c r="X172" s="2" t="n">
        <v>267.9480085599927</v>
      </c>
      <c r="Y172" s="2" t="n">
        <v>283.3654473893814</v>
      </c>
      <c r="Z172" s="2" t="n">
        <v>9.838882078773533</v>
      </c>
      <c r="AA172" s="2" t="n">
        <v>301.9951055140281</v>
      </c>
      <c r="AB172" s="2" t="n">
        <v>7.698907791618012</v>
      </c>
      <c r="AC172" s="2" t="n">
        <v>135.56809279032274</v>
      </c>
      <c r="AD172" s="2" t="n">
        <v>0.621806831653482</v>
      </c>
      <c r="AE172" s="2" t="n">
        <v>299.2305118691802</v>
      </c>
      <c r="AF172" s="2" t="n">
        <v>302.713022070758</v>
      </c>
      <c r="AG172" s="2" t="n">
        <v>295.5670511088281</v>
      </c>
      <c r="AH172" s="2" t="n">
        <v>7.145970961929891</v>
      </c>
      <c r="AI172" s="2" t="n">
        <v>2.1628302270133863</v>
      </c>
      <c r="AJ172" s="2" t="n">
        <v>302.2242015699685</v>
      </c>
      <c r="AK172" s="2" t="n">
        <v>302.5339454504546</v>
      </c>
      <c r="AL172" s="2" t="n">
        <v>302.68627516758244</v>
      </c>
      <c r="AM172" s="2" t="n">
        <v>8019726941.239465</v>
      </c>
      <c r="AN172" s="2" t="n">
        <v>8017214475.94536</v>
      </c>
      <c r="AO172" s="2" t="n">
        <v>299.25395261480764</v>
      </c>
      <c r="AP172" s="2" t="n">
        <v>141.47654851967613</v>
      </c>
      <c r="AQ172" s="2" t="n">
        <v>0.694780827592287</v>
      </c>
      <c r="AR172" s="2" t="n">
        <v>4.97641632340446</v>
      </c>
      <c r="AS172" s="2" t="n">
        <v>0.23729747347260377</v>
      </c>
      <c r="AT172" s="2" t="n">
        <v>6.784012397083803</v>
      </c>
      <c r="AU172" s="2" t="n">
        <v>293.6570043015111</v>
      </c>
      <c r="AV172" s="2" t="n">
        <v>7.296108606169581e-11</v>
      </c>
      <c r="AW172" s="2" t="n">
        <v>-2.9173756848627315e-05</v>
      </c>
      <c r="AX172" s="2" t="n">
        <v>97</v>
      </c>
      <c r="AY172" s="2" t="n">
        <v>8.016356218831788e-07</v>
      </c>
      <c r="AZ172" s="2" t="s">
        <v>131</v>
      </c>
      <c r="BA172" s="2" t="n">
        <v>4.48</v>
      </c>
      <c r="BB172" s="2" t="s">
        <v>132</v>
      </c>
      <c r="BC172" s="2" t="n">
        <v>4</v>
      </c>
      <c r="BD172" s="2" t="s">
        <v>133</v>
      </c>
      <c r="BE172" s="2" t="n">
        <v>3000</v>
      </c>
      <c r="BF172" s="2" t="s">
        <v>134</v>
      </c>
      <c r="BG172" s="2" t="n">
        <v>120</v>
      </c>
    </row>
    <row r="173" customFormat="false" ht="15" hidden="false" customHeight="false" outlineLevel="0" collapsed="false">
      <c r="A173" s="2" t="s">
        <v>306</v>
      </c>
      <c r="B173" s="2" t="s">
        <v>128</v>
      </c>
      <c r="C173" s="2" t="s">
        <v>129</v>
      </c>
      <c r="D173" s="2" t="s">
        <v>285</v>
      </c>
      <c r="E173" s="2" t="n">
        <v>0</v>
      </c>
      <c r="F173" s="2" t="n">
        <v>875.4536789017523</v>
      </c>
      <c r="G173" s="2" t="n">
        <v>325.775013389468</v>
      </c>
      <c r="H173" s="2" t="n">
        <v>305.7690239849724</v>
      </c>
      <c r="I173" s="2" t="n">
        <v>4.74464009680789</v>
      </c>
      <c r="J173" s="2" t="n">
        <v>0.003446100549552857</v>
      </c>
      <c r="K173" s="2" t="n">
        <v>0.0002871750457960714</v>
      </c>
      <c r="L173" s="2" t="n">
        <v>26.910571712988776</v>
      </c>
      <c r="M173" s="2" t="n">
        <v>0.8482533923778348</v>
      </c>
      <c r="N173" s="2" t="n">
        <v>1.7292879502444003</v>
      </c>
      <c r="O173" s="2" t="n">
        <v>5.198875</v>
      </c>
      <c r="P173" s="2" t="n">
        <v>4.409963355298316</v>
      </c>
      <c r="Q173" s="2" t="n">
        <v>28.056939</v>
      </c>
      <c r="R173" s="2" t="n">
        <v>20.187916431099048</v>
      </c>
      <c r="S173" s="2" t="n">
        <v>117.98494170414709</v>
      </c>
      <c r="T173" s="2" t="n">
        <v>139.09162375809683</v>
      </c>
      <c r="U173" s="2" t="n">
        <v>0.0004510131496869019</v>
      </c>
      <c r="V173" s="2" t="n">
        <v>8.235126140403652</v>
      </c>
      <c r="W173" s="2" t="n">
        <v>2.8464466116431416e-05</v>
      </c>
      <c r="X173" s="2" t="n">
        <v>568.0880204150992</v>
      </c>
      <c r="Y173" s="2" t="n">
        <v>295.1408394656134</v>
      </c>
      <c r="Z173" s="2" t="n">
        <v>23.729632367869982</v>
      </c>
      <c r="AA173" s="2" t="n">
        <v>344.0186951473673</v>
      </c>
      <c r="AB173" s="2" t="n">
        <v>18.24368175789931</v>
      </c>
      <c r="AC173" s="2" t="n">
        <v>262.79476803877446</v>
      </c>
      <c r="AD173" s="2" t="n">
        <v>0.5685250695778461</v>
      </c>
      <c r="AE173" s="2" t="n">
        <v>336.9640551750223</v>
      </c>
      <c r="AF173" s="2" t="n">
        <v>345.19198859737713</v>
      </c>
      <c r="AG173" s="2" t="n">
        <v>328.24692487776247</v>
      </c>
      <c r="AH173" s="2" t="n">
        <v>16.945063719614666</v>
      </c>
      <c r="AI173" s="2" t="n">
        <v>5.134252230177485</v>
      </c>
      <c r="AJ173" s="2" t="n">
        <v>344.0909446029369</v>
      </c>
      <c r="AK173" s="2" t="n">
        <v>344.7558710040916</v>
      </c>
      <c r="AL173" s="2" t="n">
        <v>345.12603060250854</v>
      </c>
      <c r="AM173" s="2" t="n">
        <v>12910366610.493948</v>
      </c>
      <c r="AN173" s="2" t="n">
        <v>12892415811.713028</v>
      </c>
      <c r="AO173" s="2" t="n">
        <v>337.08128724270205</v>
      </c>
      <c r="AP173" s="2" t="n">
        <v>299.9504747791724</v>
      </c>
      <c r="AQ173" s="2" t="n">
        <v>4.945727112933457</v>
      </c>
      <c r="AR173" s="2" t="n">
        <v>27.722304327617547</v>
      </c>
      <c r="AS173" s="2" t="n">
        <v>4.487713342008052</v>
      </c>
      <c r="AT173" s="2" t="n">
        <v>2.255829022147121</v>
      </c>
      <c r="AU173" s="2" t="n">
        <v>305.91551282607765</v>
      </c>
      <c r="AV173" s="2" t="n">
        <v>9.216137186740526e-11</v>
      </c>
      <c r="AW173" s="2" t="n">
        <v>-1.4546792438971326e-05</v>
      </c>
      <c r="AX173" s="2" t="n">
        <v>115</v>
      </c>
      <c r="AY173" s="2" t="n">
        <v>8.319838684656133e-07</v>
      </c>
      <c r="AZ173" s="2" t="s">
        <v>131</v>
      </c>
      <c r="BA173" s="2" t="n">
        <v>4.48</v>
      </c>
      <c r="BB173" s="2" t="s">
        <v>132</v>
      </c>
      <c r="BC173" s="2" t="n">
        <v>4</v>
      </c>
      <c r="BD173" s="2" t="s">
        <v>133</v>
      </c>
      <c r="BE173" s="2" t="n">
        <v>3000</v>
      </c>
      <c r="BF173" s="2" t="s">
        <v>134</v>
      </c>
      <c r="BG173" s="2" t="n">
        <v>120</v>
      </c>
    </row>
    <row r="174" customFormat="false" ht="15" hidden="false" customHeight="false" outlineLevel="0" collapsed="false">
      <c r="A174" s="2" t="s">
        <v>307</v>
      </c>
      <c r="B174" s="2" t="s">
        <v>128</v>
      </c>
      <c r="C174" s="2" t="s">
        <v>129</v>
      </c>
      <c r="D174" s="2" t="s">
        <v>285</v>
      </c>
      <c r="E174" s="2" t="n">
        <v>0</v>
      </c>
      <c r="F174" s="2" t="n">
        <v>953.8114044988463</v>
      </c>
      <c r="G174" s="2" t="n">
        <v>307.8843379718956</v>
      </c>
      <c r="H174" s="2" t="n">
        <v>295.4861083758742</v>
      </c>
      <c r="I174" s="2" t="n">
        <v>2.5992249751432173</v>
      </c>
      <c r="J174" s="2" t="n">
        <v>0.0019257529370206423</v>
      </c>
      <c r="K174" s="2" t="n">
        <v>0.00016047941141838685</v>
      </c>
      <c r="L174" s="2" t="n">
        <v>27.080605732254007</v>
      </c>
      <c r="M174" s="2" t="n">
        <v>0.8339389468071343</v>
      </c>
      <c r="N174" s="2" t="n">
        <v>0.9327479958952514</v>
      </c>
      <c r="O174" s="2" t="n">
        <v>5.198875</v>
      </c>
      <c r="P174" s="2" t="n">
        <v>4.335544342081941</v>
      </c>
      <c r="Q174" s="2" t="n">
        <v>28.056939</v>
      </c>
      <c r="R174" s="2" t="n">
        <v>19.512315140865105</v>
      </c>
      <c r="S174" s="2" t="n">
        <v>57.042288465364834</v>
      </c>
      <c r="T174" s="2" t="n">
        <v>68.40103665113632</v>
      </c>
      <c r="U174" s="2" t="n">
        <v>0.0005213044952379656</v>
      </c>
      <c r="V174" s="2" t="n">
        <v>6.074480770158409</v>
      </c>
      <c r="W174" s="2" t="n">
        <v>1.1733148629897663e-05</v>
      </c>
      <c r="X174" s="2" t="n">
        <v>618.9348970591327</v>
      </c>
      <c r="Y174" s="2" t="n">
        <v>280.37848205866766</v>
      </c>
      <c r="Z174" s="2" t="n">
        <v>15.577054905544227</v>
      </c>
      <c r="AA174" s="2" t="n">
        <v>343.5413443172637</v>
      </c>
      <c r="AB174" s="2" t="n">
        <v>35.657006345368075</v>
      </c>
      <c r="AC174" s="2" t="n">
        <v>287.0263240249172</v>
      </c>
      <c r="AD174" s="2" t="n">
        <v>0.5699349573766408</v>
      </c>
      <c r="AE174" s="2" t="n">
        <v>328.82623515595384</v>
      </c>
      <c r="AF174" s="2" t="n">
        <v>344.4790666489853</v>
      </c>
      <c r="AG174" s="2" t="n">
        <v>311.681699508659</v>
      </c>
      <c r="AH174" s="2" t="n">
        <v>32.79736714032629</v>
      </c>
      <c r="AI174" s="2" t="n">
        <v>9.986099010469498</v>
      </c>
      <c r="AJ174" s="2" t="n">
        <v>342.5773509180107</v>
      </c>
      <c r="AK174" s="2" t="n">
        <v>343.80602412025814</v>
      </c>
      <c r="AL174" s="2" t="n">
        <v>344.3888991338076</v>
      </c>
      <c r="AM174" s="2" t="n">
        <v>11756000585.750603</v>
      </c>
      <c r="AN174" s="2" t="n">
        <v>11691381723.294859</v>
      </c>
      <c r="AO174" s="2" t="n">
        <v>329.2796562932712</v>
      </c>
      <c r="AP174" s="2" t="n">
        <v>326.7976256472221</v>
      </c>
      <c r="AQ174" s="2" t="n">
        <v>4.95622806643222</v>
      </c>
      <c r="AR174" s="2" t="n">
        <v>30.018813879354518</v>
      </c>
      <c r="AS174" s="2" t="n">
        <v>4.7963065291926545</v>
      </c>
      <c r="AT174" s="2" t="n">
        <v>2.259272599279213</v>
      </c>
      <c r="AU174" s="2" t="n">
        <v>295.2056384341402</v>
      </c>
      <c r="AV174" s="2" t="n">
        <v>9.66522861745034e-11</v>
      </c>
      <c r="AW174" s="2" t="n">
        <v>-1.5228300571221355e-05</v>
      </c>
      <c r="AX174" s="2" t="n">
        <v>179</v>
      </c>
      <c r="AY174" s="2" t="n">
        <v>9.236584901373135e-07</v>
      </c>
      <c r="AZ174" s="2" t="s">
        <v>131</v>
      </c>
      <c r="BA174" s="2" t="n">
        <v>4.48</v>
      </c>
      <c r="BB174" s="2" t="s">
        <v>132</v>
      </c>
      <c r="BC174" s="2" t="n">
        <v>4</v>
      </c>
      <c r="BD174" s="2" t="s">
        <v>133</v>
      </c>
      <c r="BE174" s="2" t="n">
        <v>3000</v>
      </c>
      <c r="BF174" s="2" t="s">
        <v>134</v>
      </c>
      <c r="BG174" s="2" t="n">
        <v>120</v>
      </c>
    </row>
    <row r="175" customFormat="false" ht="15" hidden="false" customHeight="false" outlineLevel="0" collapsed="false">
      <c r="A175" s="2" t="s">
        <v>308</v>
      </c>
      <c r="B175" s="2" t="s">
        <v>128</v>
      </c>
      <c r="C175" s="2" t="s">
        <v>129</v>
      </c>
      <c r="D175" s="2" t="s">
        <v>285</v>
      </c>
      <c r="E175" s="2" t="n">
        <v>0</v>
      </c>
      <c r="F175" s="2" t="n">
        <v>531.7725858232911</v>
      </c>
      <c r="G175" s="2" t="n">
        <v>330.9172651187181</v>
      </c>
      <c r="H175" s="2" t="n">
        <v>288.9585387164728</v>
      </c>
      <c r="I175" s="2" t="n">
        <v>3.7231615847216553</v>
      </c>
      <c r="J175" s="2" t="n">
        <v>0.0022305724509895618</v>
      </c>
      <c r="K175" s="2" t="n">
        <v>0.00018588103758246347</v>
      </c>
      <c r="L175" s="2" t="n">
        <v>29.699153868439048</v>
      </c>
      <c r="M175" s="2" t="n">
        <v>0.9926589321225803</v>
      </c>
      <c r="N175" s="2" t="n">
        <v>1.3169377670858027</v>
      </c>
      <c r="O175" s="2" t="n">
        <v>5.198875</v>
      </c>
      <c r="P175" s="2" t="n">
        <v>5.16070970573878</v>
      </c>
      <c r="Q175" s="2" t="n">
        <v>28.056939</v>
      </c>
      <c r="R175" s="2" t="n">
        <v>27.646515237024474</v>
      </c>
      <c r="S175" s="2" t="n">
        <v>79.44587007470778</v>
      </c>
      <c r="T175" s="2" t="n">
        <v>80.03340070171981</v>
      </c>
      <c r="U175" s="2" t="n">
        <v>0.00043354367027745034</v>
      </c>
      <c r="V175" s="2" t="n">
        <v>4.028224783610157</v>
      </c>
      <c r="W175" s="2" t="n">
        <v>9.012284080957076e-06</v>
      </c>
      <c r="X175" s="2" t="n">
        <v>345.0709533488343</v>
      </c>
      <c r="Y175" s="2" t="n">
        <v>271.13924119053877</v>
      </c>
      <c r="Z175" s="2" t="n">
        <v>19.84801402194229</v>
      </c>
      <c r="AA175" s="2" t="n">
        <v>344.2082870260601</v>
      </c>
      <c r="AB175" s="2" t="n">
        <v>13.291021907341985</v>
      </c>
      <c r="AC175" s="2" t="n">
        <v>123.92273496422595</v>
      </c>
      <c r="AD175" s="2" t="n">
        <v>0.4413581215174754</v>
      </c>
      <c r="AE175" s="2" t="n">
        <v>338.76859331288847</v>
      </c>
      <c r="AF175" s="2" t="n">
        <v>344.6547753281382</v>
      </c>
      <c r="AG175" s="2" t="n">
        <v>332.3653468185218</v>
      </c>
      <c r="AH175" s="2" t="n">
        <v>12.289428509616414</v>
      </c>
      <c r="AI175" s="2" t="n">
        <v>3.7339004900832364</v>
      </c>
      <c r="AJ175" s="2" t="n">
        <v>343.92423814359876</v>
      </c>
      <c r="AK175" s="2" t="n">
        <v>344.39500802329894</v>
      </c>
      <c r="AL175" s="2" t="n">
        <v>344.6218465505413</v>
      </c>
      <c r="AM175" s="2" t="n">
        <v>13180407700.932587</v>
      </c>
      <c r="AN175" s="2" t="n">
        <v>13170812378.087212</v>
      </c>
      <c r="AO175" s="2" t="n">
        <v>338.8302771758359</v>
      </c>
      <c r="AP175" s="2" t="n">
        <v>182.19746336818451</v>
      </c>
      <c r="AQ175" s="2" t="n">
        <v>7.308032699452261</v>
      </c>
      <c r="AR175" s="2" t="n">
        <v>43.801080662592526</v>
      </c>
      <c r="AS175" s="2" t="n">
        <v>7.165668314823975</v>
      </c>
      <c r="AT175" s="2" t="n">
        <v>2.2157936723746956</v>
      </c>
      <c r="AU175" s="2" t="n">
        <v>289.71207579507103</v>
      </c>
      <c r="AV175" s="2" t="n">
        <v>9.704280046207714e-11</v>
      </c>
      <c r="AW175" s="2" t="n">
        <v>-2.819255161434827e-05</v>
      </c>
      <c r="AX175" s="2" t="n">
        <v>166</v>
      </c>
      <c r="AY175" s="2" t="n">
        <v>9.699386964712176e-07</v>
      </c>
      <c r="AZ175" s="2" t="s">
        <v>131</v>
      </c>
      <c r="BA175" s="2" t="n">
        <v>4.48</v>
      </c>
      <c r="BB175" s="2" t="s">
        <v>132</v>
      </c>
      <c r="BC175" s="2" t="n">
        <v>4</v>
      </c>
      <c r="BD175" s="2" t="s">
        <v>133</v>
      </c>
      <c r="BE175" s="2" t="n">
        <v>3000</v>
      </c>
      <c r="BF175" s="2" t="s">
        <v>134</v>
      </c>
      <c r="BG175" s="2" t="n">
        <v>120</v>
      </c>
    </row>
    <row r="176" customFormat="false" ht="15" hidden="false" customHeight="false" outlineLevel="0" collapsed="false">
      <c r="A176" s="2" t="s">
        <v>309</v>
      </c>
      <c r="B176" s="2" t="s">
        <v>128</v>
      </c>
      <c r="C176" s="2" t="s">
        <v>129</v>
      </c>
      <c r="D176" s="2" t="s">
        <v>285</v>
      </c>
      <c r="E176" s="2" t="n">
        <v>0</v>
      </c>
      <c r="F176" s="2" t="n">
        <v>743.7271045448539</v>
      </c>
      <c r="G176" s="2" t="n">
        <v>298.98086309716166</v>
      </c>
      <c r="H176" s="2" t="n">
        <v>290.2499396811121</v>
      </c>
      <c r="I176" s="2" t="n">
        <v>3.8335513224652544</v>
      </c>
      <c r="J176" s="2" t="n">
        <v>0.002190668703651887</v>
      </c>
      <c r="K176" s="2" t="n">
        <v>0.00018255572530432391</v>
      </c>
      <c r="L176" s="2" t="n">
        <v>28.522836401271444</v>
      </c>
      <c r="M176" s="2" t="n">
        <v>0.5467410126012517</v>
      </c>
      <c r="N176" s="2" t="n">
        <v>1.2842576267577013</v>
      </c>
      <c r="O176" s="2" t="n">
        <v>5.198875</v>
      </c>
      <c r="P176" s="2" t="n">
        <v>2.8424381818873328</v>
      </c>
      <c r="Q176" s="2" t="n">
        <v>28.056939</v>
      </c>
      <c r="R176" s="2" t="n">
        <v>8.386941108503985</v>
      </c>
      <c r="S176" s="2" t="n">
        <v>50.144907479167834</v>
      </c>
      <c r="T176" s="2" t="n">
        <v>91.71601603580348</v>
      </c>
      <c r="U176" s="2" t="n">
        <v>0.0006745866014994137</v>
      </c>
      <c r="V176" s="2" t="n">
        <v>20.21672454604823</v>
      </c>
      <c r="W176" s="2" t="n">
        <v>4.442140998332874e-05</v>
      </c>
      <c r="X176" s="2" t="n">
        <v>482.60972422888744</v>
      </c>
      <c r="Y176" s="2" t="n">
        <v>272.9589161159466</v>
      </c>
      <c r="Z176" s="2" t="n">
        <v>20.267495025367968</v>
      </c>
      <c r="AA176" s="2" t="n">
        <v>323.6927162583391</v>
      </c>
      <c r="AB176" s="2" t="n">
        <v>24.71185316117743</v>
      </c>
      <c r="AC176" s="2" t="n">
        <v>226.2863203170272</v>
      </c>
      <c r="AD176" s="2" t="n">
        <v>0.5762497746001658</v>
      </c>
      <c r="AE176" s="2" t="n">
        <v>313.63372079880486</v>
      </c>
      <c r="AF176" s="2" t="n">
        <v>324.54581712138247</v>
      </c>
      <c r="AG176" s="2" t="n">
        <v>301.78110343639116</v>
      </c>
      <c r="AH176" s="2" t="n">
        <v>22.764713684991307</v>
      </c>
      <c r="AI176" s="2" t="n">
        <v>6.932555412329211</v>
      </c>
      <c r="AJ176" s="2" t="n">
        <v>323.2059374683793</v>
      </c>
      <c r="AK176" s="2" t="n">
        <v>324.0709392006977</v>
      </c>
      <c r="AL176" s="2" t="n">
        <v>324.48395034034564</v>
      </c>
      <c r="AM176" s="2" t="n">
        <v>9704232877.255571</v>
      </c>
      <c r="AN176" s="2" t="n">
        <v>9675891758.266186</v>
      </c>
      <c r="AO176" s="2" t="n">
        <v>313.86313076333124</v>
      </c>
      <c r="AP176" s="2" t="n">
        <v>254.81793439285258</v>
      </c>
      <c r="AQ176" s="2" t="n">
        <v>3.240938784494798</v>
      </c>
      <c r="AR176" s="2" t="n">
        <v>21.92673217837282</v>
      </c>
      <c r="AS176" s="2" t="n">
        <v>3.363987869386661</v>
      </c>
      <c r="AT176" s="2" t="n">
        <v>2.310881529334684</v>
      </c>
      <c r="AU176" s="2" t="n">
        <v>289.07612758546026</v>
      </c>
      <c r="AV176" s="2" t="n">
        <v>8.968811471277149e-11</v>
      </c>
      <c r="AW176" s="2" t="n">
        <v>-1.867797557795367e-05</v>
      </c>
      <c r="AX176" s="2" t="n">
        <v>160</v>
      </c>
      <c r="AY176" s="2" t="n">
        <v>9.202523187923362e-07</v>
      </c>
      <c r="AZ176" s="2" t="s">
        <v>131</v>
      </c>
      <c r="BA176" s="2" t="n">
        <v>4.48</v>
      </c>
      <c r="BB176" s="2" t="s">
        <v>132</v>
      </c>
      <c r="BC176" s="2" t="n">
        <v>4</v>
      </c>
      <c r="BD176" s="2" t="s">
        <v>133</v>
      </c>
      <c r="BE176" s="2" t="n">
        <v>3000</v>
      </c>
      <c r="BF176" s="2" t="s">
        <v>134</v>
      </c>
      <c r="BG176" s="2" t="n">
        <v>120</v>
      </c>
    </row>
    <row r="177" customFormat="false" ht="15" hidden="false" customHeight="false" outlineLevel="0" collapsed="false">
      <c r="A177" s="2" t="s">
        <v>310</v>
      </c>
      <c r="B177" s="2" t="s">
        <v>128</v>
      </c>
      <c r="C177" s="2" t="s">
        <v>129</v>
      </c>
      <c r="D177" s="2" t="s">
        <v>285</v>
      </c>
      <c r="E177" s="2" t="n">
        <v>0</v>
      </c>
      <c r="F177" s="2" t="n">
        <v>820.1821239042806</v>
      </c>
      <c r="G177" s="2" t="n">
        <v>320.6421309052611</v>
      </c>
      <c r="H177" s="2" t="n">
        <v>287.02409856660813</v>
      </c>
      <c r="I177" s="2" t="n">
        <v>2.7500998617712287</v>
      </c>
      <c r="J177" s="2" t="n">
        <v>0.0012704591843071562</v>
      </c>
      <c r="K177" s="2" t="n">
        <v>0.00010587159869226302</v>
      </c>
      <c r="L177" s="2" t="n">
        <v>24.348695262100602</v>
      </c>
      <c r="M177" s="2" t="n">
        <v>0.37330452706702716</v>
      </c>
      <c r="N177" s="2" t="n">
        <v>1.836854270120929</v>
      </c>
      <c r="O177" s="2" t="n">
        <v>5.198875</v>
      </c>
      <c r="P177" s="2" t="n">
        <v>1.9407635731555912</v>
      </c>
      <c r="Q177" s="2" t="n">
        <v>28.056939</v>
      </c>
      <c r="R177" s="2" t="n">
        <v>3.9099103646581033</v>
      </c>
      <c r="S177" s="2" t="n">
        <v>47.41907368196767</v>
      </c>
      <c r="T177" s="2" t="n">
        <v>127.02517715102213</v>
      </c>
      <c r="U177" s="2" t="n">
        <v>0.0004137094991310907</v>
      </c>
      <c r="V177" s="2" t="n">
        <v>13.718251310535333</v>
      </c>
      <c r="W177" s="2" t="n">
        <v>1.748092113350381e-05</v>
      </c>
      <c r="X177" s="2" t="n">
        <v>532.221921476355</v>
      </c>
      <c r="Y177" s="2" t="n">
        <v>268.4210804945882</v>
      </c>
      <c r="Z177" s="2" t="n">
        <v>16.15037947473067</v>
      </c>
      <c r="AA177" s="2" t="n">
        <v>361.0086534354315</v>
      </c>
      <c r="AB177" s="2" t="n">
        <v>40.36652253017036</v>
      </c>
      <c r="AC177" s="2" t="n">
        <v>214.36720061964613</v>
      </c>
      <c r="AD177" s="2" t="n">
        <v>0.4950101619984089</v>
      </c>
      <c r="AE177" s="2" t="n">
        <v>344.29757067781685</v>
      </c>
      <c r="AF177" s="2" t="n">
        <v>361.50212708676935</v>
      </c>
      <c r="AG177" s="2" t="n">
        <v>324.6118880808953</v>
      </c>
      <c r="AH177" s="2" t="n">
        <v>36.89023900587404</v>
      </c>
      <c r="AI177" s="2" t="n">
        <v>11.247867373298021</v>
      </c>
      <c r="AJ177" s="2" t="n">
        <v>359.6226582670433</v>
      </c>
      <c r="AK177" s="2" t="n">
        <v>360.84079863592194</v>
      </c>
      <c r="AL177" s="2" t="n">
        <v>361.4256477972352</v>
      </c>
      <c r="AM177" s="2" t="n">
        <v>14141725498.534739</v>
      </c>
      <c r="AN177" s="2" t="n">
        <v>14051925336.432917</v>
      </c>
      <c r="AO177" s="2" t="n">
        <v>344.84632392376415</v>
      </c>
      <c r="AP177" s="2" t="n">
        <v>281.01317453951543</v>
      </c>
      <c r="AQ177" s="2" t="n">
        <v>8.591422746251164</v>
      </c>
      <c r="AR177" s="2" t="n">
        <v>49.815252639763244</v>
      </c>
      <c r="AS177" s="2" t="n">
        <v>8.239354638586871</v>
      </c>
      <c r="AT177" s="2" t="n">
        <v>2.203872592344464</v>
      </c>
      <c r="AU177" s="2" t="n">
        <v>288.5052756748288</v>
      </c>
      <c r="AV177" s="2" t="n">
        <v>1.083026290871203e-10</v>
      </c>
      <c r="AW177" s="2" t="n">
        <v>-2.0552014709582242e-05</v>
      </c>
      <c r="AX177" s="2" t="n">
        <v>265</v>
      </c>
      <c r="AY177" s="2" t="n">
        <v>9.385238399772788e-07</v>
      </c>
      <c r="AZ177" s="2" t="s">
        <v>131</v>
      </c>
      <c r="BA177" s="2" t="n">
        <v>4.48</v>
      </c>
      <c r="BB177" s="2" t="s">
        <v>132</v>
      </c>
      <c r="BC177" s="2" t="n">
        <v>4</v>
      </c>
      <c r="BD177" s="2" t="s">
        <v>133</v>
      </c>
      <c r="BE177" s="2" t="n">
        <v>3000</v>
      </c>
      <c r="BF177" s="2" t="s">
        <v>134</v>
      </c>
      <c r="BG177" s="2" t="n">
        <v>120</v>
      </c>
    </row>
    <row r="178" customFormat="false" ht="15" hidden="false" customHeight="false" outlineLevel="0" collapsed="false">
      <c r="A178" s="2" t="s">
        <v>311</v>
      </c>
      <c r="B178" s="2" t="s">
        <v>128</v>
      </c>
      <c r="C178" s="2" t="s">
        <v>129</v>
      </c>
      <c r="D178" s="2" t="s">
        <v>285</v>
      </c>
      <c r="E178" s="2" t="n">
        <v>0</v>
      </c>
      <c r="F178" s="2" t="n">
        <v>791.7805039860735</v>
      </c>
      <c r="G178" s="2" t="n">
        <v>317.30760216951785</v>
      </c>
      <c r="H178" s="2" t="n">
        <v>295.71990328715196</v>
      </c>
      <c r="I178" s="2" t="n">
        <v>3.3189656435484864</v>
      </c>
      <c r="J178" s="2" t="n">
        <v>0.003975480795289555</v>
      </c>
      <c r="K178" s="2" t="n">
        <v>0.00033129006627412956</v>
      </c>
      <c r="L178" s="2" t="n">
        <v>31.528801456415408</v>
      </c>
      <c r="M178" s="2" t="n">
        <v>0.4084856822739875</v>
      </c>
      <c r="N178" s="2" t="n">
        <v>1.4646972621041592</v>
      </c>
      <c r="O178" s="2" t="n">
        <v>5.198875</v>
      </c>
      <c r="P178" s="2" t="n">
        <v>2.123666001432177</v>
      </c>
      <c r="Q178" s="2" t="n">
        <v>28.056939</v>
      </c>
      <c r="R178" s="2" t="n">
        <v>4.681596346445454</v>
      </c>
      <c r="S178" s="2" t="n">
        <v>115.16431823063115</v>
      </c>
      <c r="T178" s="2" t="n">
        <v>281.9298771734817</v>
      </c>
      <c r="U178" s="2" t="n">
        <v>0.0005330397056418714</v>
      </c>
      <c r="V178" s="2" t="n">
        <v>52.31914793177393</v>
      </c>
      <c r="W178" s="2" t="n">
        <v>0.0002086196267088069</v>
      </c>
      <c r="X178" s="2" t="n">
        <v>513.7919115000909</v>
      </c>
      <c r="Y178" s="2" t="n">
        <v>280.711310024783</v>
      </c>
      <c r="Z178" s="2" t="n">
        <v>18.312069445484248</v>
      </c>
      <c r="AA178" s="2" t="n">
        <v>331.43833775443284</v>
      </c>
      <c r="AB178" s="2" t="n">
        <v>14.130735584914987</v>
      </c>
      <c r="AC178" s="2" t="n">
        <v>234.81763599398295</v>
      </c>
      <c r="AD178" s="2" t="n">
        <v>0.5616839123492077</v>
      </c>
      <c r="AE178" s="2" t="n">
        <v>326.19926092753053</v>
      </c>
      <c r="AF178" s="2" t="n">
        <v>332.58322402824655</v>
      </c>
      <c r="AG178" s="2" t="n">
        <v>319.4419880972584</v>
      </c>
      <c r="AH178" s="2" t="n">
        <v>13.14123593098816</v>
      </c>
      <c r="AI178" s="2" t="n">
        <v>3.9691335616443464</v>
      </c>
      <c r="AJ178" s="2" t="n">
        <v>331.6896251271508</v>
      </c>
      <c r="AK178" s="2" t="n">
        <v>332.2523068813999</v>
      </c>
      <c r="AL178" s="2" t="n">
        <v>332.5369262844816</v>
      </c>
      <c r="AM178" s="2" t="n">
        <v>11332282279.075607</v>
      </c>
      <c r="AN178" s="2" t="n">
        <v>11322227861.648903</v>
      </c>
      <c r="AO178" s="2" t="n">
        <v>326.27165507014587</v>
      </c>
      <c r="AP178" s="2" t="n">
        <v>271.282129272048</v>
      </c>
      <c r="AQ178" s="2" t="n">
        <v>4.446483822288075</v>
      </c>
      <c r="AR178" s="2" t="n">
        <v>27.633296127956175</v>
      </c>
      <c r="AS178" s="2" t="n">
        <v>4.38475663336382</v>
      </c>
      <c r="AT178" s="2" t="n">
        <v>2.265846318489146</v>
      </c>
      <c r="AU178" s="2" t="n">
        <v>295.2504063543181</v>
      </c>
      <c r="AV178" s="2" t="n">
        <v>8.975320042736713e-11</v>
      </c>
      <c r="AW178" s="2" t="n">
        <v>-1.7433698722895112e-05</v>
      </c>
      <c r="AX178" s="2" t="n">
        <v>103</v>
      </c>
      <c r="AY178" s="2" t="n">
        <v>8.957708814705256e-07</v>
      </c>
      <c r="AZ178" s="2" t="s">
        <v>131</v>
      </c>
      <c r="BA178" s="2" t="n">
        <v>4.48</v>
      </c>
      <c r="BB178" s="2" t="s">
        <v>132</v>
      </c>
      <c r="BC178" s="2" t="n">
        <v>4</v>
      </c>
      <c r="BD178" s="2" t="s">
        <v>133</v>
      </c>
      <c r="BE178" s="2" t="n">
        <v>3000</v>
      </c>
      <c r="BF178" s="2" t="s">
        <v>134</v>
      </c>
      <c r="BG178" s="2" t="n">
        <v>120</v>
      </c>
    </row>
    <row r="179" customFormat="false" ht="15" hidden="false" customHeight="false" outlineLevel="0" collapsed="false">
      <c r="A179" s="2" t="s">
        <v>312</v>
      </c>
      <c r="B179" s="2" t="s">
        <v>128</v>
      </c>
      <c r="C179" s="2" t="s">
        <v>129</v>
      </c>
      <c r="D179" s="2" t="s">
        <v>285</v>
      </c>
      <c r="E179" s="2" t="n">
        <v>0</v>
      </c>
      <c r="F179" s="2" t="n">
        <v>495.2617992036387</v>
      </c>
      <c r="G179" s="2" t="n">
        <v>327.8332698730215</v>
      </c>
      <c r="H179" s="2" t="n">
        <v>292.33292334818515</v>
      </c>
      <c r="I179" s="2" t="n">
        <v>2.0678419451632473</v>
      </c>
      <c r="J179" s="2" t="n">
        <v>0.003525337671568306</v>
      </c>
      <c r="K179" s="2" t="n">
        <v>0.0002937781392973588</v>
      </c>
      <c r="L179" s="2" t="n">
        <v>29.021882808546998</v>
      </c>
      <c r="M179" s="2" t="n">
        <v>0.48288076353769444</v>
      </c>
      <c r="N179" s="2" t="n">
        <v>0.6745568969633634</v>
      </c>
      <c r="O179" s="2" t="n">
        <v>5.198875</v>
      </c>
      <c r="P179" s="2" t="n">
        <v>2.510436729537031</v>
      </c>
      <c r="Q179" s="2" t="n">
        <v>28.056939</v>
      </c>
      <c r="R179" s="2" t="n">
        <v>6.542143975061469</v>
      </c>
      <c r="S179" s="2" t="n">
        <v>115.42814130019929</v>
      </c>
      <c r="T179" s="2" t="n">
        <v>239.040670111906</v>
      </c>
      <c r="U179" s="2" t="n">
        <v>0.00047160332781737634</v>
      </c>
      <c r="V179" s="2" t="n">
        <v>43.10891172802907</v>
      </c>
      <c r="W179" s="2" t="n">
        <v>0.0001524307627834841</v>
      </c>
      <c r="X179" s="2" t="n">
        <v>321.3788483358355</v>
      </c>
      <c r="Y179" s="2" t="n">
        <v>275.9025231020515</v>
      </c>
      <c r="Z179" s="2" t="n">
        <v>13.557799391620339</v>
      </c>
      <c r="AA179" s="2" t="n">
        <v>336.10423232381055</v>
      </c>
      <c r="AB179" s="2" t="n">
        <v>8.270962450789057</v>
      </c>
      <c r="AC179" s="2" t="n">
        <v>121.88017042299518</v>
      </c>
      <c r="AD179" s="2" t="n">
        <v>0.4660841124337247</v>
      </c>
      <c r="AE179" s="2" t="n">
        <v>332.93804627109466</v>
      </c>
      <c r="AF179" s="2" t="n">
        <v>336.67097949052766</v>
      </c>
      <c r="AG179" s="2" t="n">
        <v>328.9692247684344</v>
      </c>
      <c r="AH179" s="2" t="n">
        <v>7.701754722093256</v>
      </c>
      <c r="AI179" s="2" t="n">
        <v>2.3314421782722</v>
      </c>
      <c r="AJ179" s="2" t="n">
        <v>336.16507676886437</v>
      </c>
      <c r="AK179" s="2" t="n">
        <v>336.47907054084294</v>
      </c>
      <c r="AL179" s="2" t="n">
        <v>336.6419205270606</v>
      </c>
      <c r="AM179" s="2" t="n">
        <v>12290836145.078856</v>
      </c>
      <c r="AN179" s="2" t="n">
        <v>12287222051.667776</v>
      </c>
      <c r="AO179" s="2" t="n">
        <v>332.96252569565473</v>
      </c>
      <c r="AP179" s="2" t="n">
        <v>169.68803192132117</v>
      </c>
      <c r="AQ179" s="2" t="n">
        <v>5.913712704138927</v>
      </c>
      <c r="AR179" s="2" t="n">
        <v>36.05274038557019</v>
      </c>
      <c r="AS179" s="2" t="n">
        <v>5.8414479788416465</v>
      </c>
      <c r="AT179" s="2" t="n">
        <v>2.2298957794951577</v>
      </c>
      <c r="AU179" s="2" t="n">
        <v>292.55954730404727</v>
      </c>
      <c r="AV179" s="2" t="n">
        <v>9.020880042953651e-11</v>
      </c>
      <c r="AW179" s="2" t="n">
        <v>-2.6911969635885554e-05</v>
      </c>
      <c r="AX179" s="2" t="n">
        <v>114</v>
      </c>
      <c r="AY179" s="2" t="n">
        <v>8.726806868253334e-07</v>
      </c>
      <c r="AZ179" s="2" t="s">
        <v>131</v>
      </c>
      <c r="BA179" s="2" t="n">
        <v>4.48</v>
      </c>
      <c r="BB179" s="2" t="s">
        <v>132</v>
      </c>
      <c r="BC179" s="2" t="n">
        <v>4</v>
      </c>
      <c r="BD179" s="2" t="s">
        <v>133</v>
      </c>
      <c r="BE179" s="2" t="n">
        <v>3000</v>
      </c>
      <c r="BF179" s="2" t="s">
        <v>134</v>
      </c>
      <c r="BG179" s="2" t="n">
        <v>120</v>
      </c>
    </row>
    <row r="180" customFormat="false" ht="15" hidden="false" customHeight="false" outlineLevel="0" collapsed="false">
      <c r="A180" s="2" t="s">
        <v>313</v>
      </c>
      <c r="B180" s="2" t="s">
        <v>128</v>
      </c>
      <c r="C180" s="2" t="s">
        <v>129</v>
      </c>
      <c r="D180" s="2" t="s">
        <v>285</v>
      </c>
      <c r="E180" s="2" t="n">
        <v>0</v>
      </c>
      <c r="F180" s="2" t="n">
        <v>723.0279553610814</v>
      </c>
      <c r="G180" s="2" t="n">
        <v>323.7924955719351</v>
      </c>
      <c r="H180" s="2" t="n">
        <v>304.9810536258315</v>
      </c>
      <c r="I180" s="2" t="n">
        <v>2.3922037167086865</v>
      </c>
      <c r="J180" s="2" t="n">
        <v>0.0012555858983657531</v>
      </c>
      <c r="K180" s="2" t="n">
        <v>0.0001046321581971461</v>
      </c>
      <c r="L180" s="2" t="n">
        <v>36.33650959458871</v>
      </c>
      <c r="M180" s="2" t="n">
        <v>0.4386569949102722</v>
      </c>
      <c r="N180" s="2" t="n">
        <v>0.5284643868636877</v>
      </c>
      <c r="O180" s="2" t="n">
        <v>5.198875</v>
      </c>
      <c r="P180" s="2" t="n">
        <v>2.2805228844141414</v>
      </c>
      <c r="Q180" s="2" t="n">
        <v>28.056939</v>
      </c>
      <c r="R180" s="2" t="n">
        <v>5.398715057199856</v>
      </c>
      <c r="S180" s="2" t="n">
        <v>48.16757165702684</v>
      </c>
      <c r="T180" s="2" t="n">
        <v>109.80691569019568</v>
      </c>
      <c r="U180" s="2" t="n">
        <v>0.000402512636196845</v>
      </c>
      <c r="V180" s="2" t="n">
        <v>19.42545749414957</v>
      </c>
      <c r="W180" s="2" t="n">
        <v>2.4463721663949386e-05</v>
      </c>
      <c r="X180" s="2" t="n">
        <v>469.17790142949315</v>
      </c>
      <c r="Y180" s="2" t="n">
        <v>294.0007026872332</v>
      </c>
      <c r="Z180" s="2" t="n">
        <v>14.79037412349301</v>
      </c>
      <c r="AA180" s="2" t="n">
        <v>361.77373751602573</v>
      </c>
      <c r="AB180" s="2" t="n">
        <v>37.98124194409064</v>
      </c>
      <c r="AC180" s="2" t="n">
        <v>199.33881527140758</v>
      </c>
      <c r="AD180" s="2" t="n">
        <v>0.5221591118080415</v>
      </c>
      <c r="AE180" s="2" t="n">
        <v>346.0666384293257</v>
      </c>
      <c r="AF180" s="2" t="n">
        <v>362.22020823521973</v>
      </c>
      <c r="AG180" s="2" t="n">
        <v>327.53467292998556</v>
      </c>
      <c r="AH180" s="2" t="n">
        <v>34.68553530523417</v>
      </c>
      <c r="AI180" s="2" t="n">
        <v>10.569102678230704</v>
      </c>
      <c r="AJ180" s="2" t="n">
        <v>360.45366222782513</v>
      </c>
      <c r="AK180" s="2" t="n">
        <v>361.61324768916614</v>
      </c>
      <c r="AL180" s="2" t="n">
        <v>362.1611305761658</v>
      </c>
      <c r="AM180" s="2" t="n">
        <v>14423076102.246557</v>
      </c>
      <c r="AN180" s="2" t="n">
        <v>14342964963.840374</v>
      </c>
      <c r="AO180" s="2" t="n">
        <v>346.5488593783364</v>
      </c>
      <c r="AP180" s="2" t="n">
        <v>247.7259319547724</v>
      </c>
      <c r="AQ180" s="2" t="n">
        <v>6.73102009056103</v>
      </c>
      <c r="AR180" s="2" t="n">
        <v>35.745588784563274</v>
      </c>
      <c r="AS180" s="2" t="n">
        <v>5.910567165762499</v>
      </c>
      <c r="AT180" s="2" t="n">
        <v>2.2305211641522704</v>
      </c>
      <c r="AU180" s="2" t="n">
        <v>306.03214439703095</v>
      </c>
      <c r="AV180" s="2" t="n">
        <v>9.34630861593178e-11</v>
      </c>
      <c r="AW180" s="2" t="n">
        <v>-2.3983578858588965e-05</v>
      </c>
      <c r="AX180" s="2" t="n">
        <v>273</v>
      </c>
      <c r="AY180" s="2" t="n">
        <v>9.630030604057538e-07</v>
      </c>
      <c r="AZ180" s="2" t="s">
        <v>131</v>
      </c>
      <c r="BA180" s="2" t="n">
        <v>4.48</v>
      </c>
      <c r="BB180" s="2" t="s">
        <v>132</v>
      </c>
      <c r="BC180" s="2" t="n">
        <v>4</v>
      </c>
      <c r="BD180" s="2" t="s">
        <v>133</v>
      </c>
      <c r="BE180" s="2" t="n">
        <v>3000</v>
      </c>
      <c r="BF180" s="2" t="s">
        <v>134</v>
      </c>
      <c r="BG180" s="2" t="n">
        <v>120</v>
      </c>
    </row>
    <row r="181" customFormat="false" ht="15" hidden="false" customHeight="false" outlineLevel="0" collapsed="false">
      <c r="A181" s="2" t="s">
        <v>314</v>
      </c>
      <c r="B181" s="2" t="s">
        <v>128</v>
      </c>
      <c r="C181" s="2" t="s">
        <v>129</v>
      </c>
      <c r="D181" s="2" t="s">
        <v>285</v>
      </c>
      <c r="E181" s="2" t="n">
        <v>0</v>
      </c>
      <c r="F181" s="2" t="n">
        <v>618.9247322077965</v>
      </c>
      <c r="G181" s="2" t="n">
        <v>308.459823980049</v>
      </c>
      <c r="H181" s="2" t="n">
        <v>288.5582366086826</v>
      </c>
      <c r="I181" s="2" t="n">
        <v>3.637669881380784</v>
      </c>
      <c r="J181" s="2" t="n">
        <v>0.0015725785126363555</v>
      </c>
      <c r="K181" s="2" t="n">
        <v>0.00013104820938636297</v>
      </c>
      <c r="L181" s="2" t="n">
        <v>29.970130599624447</v>
      </c>
      <c r="M181" s="2" t="n">
        <v>0.6175092711914679</v>
      </c>
      <c r="N181" s="2" t="n">
        <v>1.8279088836566384</v>
      </c>
      <c r="O181" s="2" t="n">
        <v>5.198875</v>
      </c>
      <c r="P181" s="2" t="n">
        <v>3.210353512265543</v>
      </c>
      <c r="Q181" s="2" t="n">
        <v>28.056939</v>
      </c>
      <c r="R181" s="2" t="n">
        <v>10.698607448728422</v>
      </c>
      <c r="S181" s="2" t="n">
        <v>43.31806620974773</v>
      </c>
      <c r="T181" s="2" t="n">
        <v>70.14966127741961</v>
      </c>
      <c r="U181" s="2" t="n">
        <v>0.000560571634265927</v>
      </c>
      <c r="V181" s="2" t="n">
        <v>7.994968577107959</v>
      </c>
      <c r="W181" s="2" t="n">
        <v>1.2610547435870445e-05</v>
      </c>
      <c r="X181" s="2" t="n">
        <v>401.6245912027645</v>
      </c>
      <c r="Y181" s="2" t="n">
        <v>270.5760115407388</v>
      </c>
      <c r="Z181" s="2" t="n">
        <v>19.52314554924698</v>
      </c>
      <c r="AA181" s="2" t="n">
        <v>334.3882546422747</v>
      </c>
      <c r="AB181" s="2" t="n">
        <v>25.928430662225708</v>
      </c>
      <c r="AC181" s="2" t="n">
        <v>170.4373804298347</v>
      </c>
      <c r="AD181" s="2" t="n">
        <v>0.5215465664854436</v>
      </c>
      <c r="AE181" s="2" t="n">
        <v>323.65534172551565</v>
      </c>
      <c r="AF181" s="2" t="n">
        <v>334.8837882203759</v>
      </c>
      <c r="AG181" s="2" t="n">
        <v>311.0948590171249</v>
      </c>
      <c r="AH181" s="2" t="n">
        <v>23.788929203250973</v>
      </c>
      <c r="AI181" s="2" t="n">
        <v>7.248923666546283</v>
      </c>
      <c r="AJ181" s="2" t="n">
        <v>333.58030059652185</v>
      </c>
      <c r="AK181" s="2" t="n">
        <v>334.42613617347047</v>
      </c>
      <c r="AL181" s="2" t="n">
        <v>334.8294599353153</v>
      </c>
      <c r="AM181" s="2" t="n">
        <v>11006131705.324911</v>
      </c>
      <c r="AN181" s="2" t="n">
        <v>10973144965.3826</v>
      </c>
      <c r="AO181" s="2" t="n">
        <v>323.89830580396637</v>
      </c>
      <c r="AP181" s="2" t="n">
        <v>212.05778415505966</v>
      </c>
      <c r="AQ181" s="2" t="n">
        <v>4.894500863355645</v>
      </c>
      <c r="AR181" s="2" t="n">
        <v>31.676890126586155</v>
      </c>
      <c r="AS181" s="2" t="n">
        <v>5.049065216158873</v>
      </c>
      <c r="AT181" s="2" t="n">
        <v>2.2459550992728237</v>
      </c>
      <c r="AU181" s="2" t="n">
        <v>288.1777258334498</v>
      </c>
      <c r="AV181" s="2" t="n">
        <v>9.372342901770025e-11</v>
      </c>
      <c r="AW181" s="2" t="n">
        <v>-2.565893637174583e-05</v>
      </c>
      <c r="AX181" s="2" t="n">
        <v>221</v>
      </c>
      <c r="AY181" s="2" t="n">
        <v>9.757586667547002e-07</v>
      </c>
      <c r="AZ181" s="2" t="s">
        <v>131</v>
      </c>
      <c r="BA181" s="2" t="n">
        <v>4.48</v>
      </c>
      <c r="BB181" s="2" t="s">
        <v>132</v>
      </c>
      <c r="BC181" s="2" t="n">
        <v>4</v>
      </c>
      <c r="BD181" s="2" t="s">
        <v>133</v>
      </c>
      <c r="BE181" s="2" t="n">
        <v>3000</v>
      </c>
      <c r="BF181" s="2" t="s">
        <v>134</v>
      </c>
      <c r="BG181" s="2" t="n">
        <v>120</v>
      </c>
    </row>
    <row r="182" customFormat="false" ht="15" hidden="false" customHeight="false" outlineLevel="0" collapsed="false">
      <c r="A182" s="2" t="s">
        <v>315</v>
      </c>
      <c r="B182" s="2" t="s">
        <v>128</v>
      </c>
      <c r="C182" s="2" t="s">
        <v>129</v>
      </c>
      <c r="D182" s="2" t="s">
        <v>285</v>
      </c>
      <c r="E182" s="2" t="n">
        <v>0</v>
      </c>
      <c r="F182" s="2" t="n">
        <v>470.11640994774154</v>
      </c>
      <c r="G182" s="2" t="n">
        <v>302.6023840379518</v>
      </c>
      <c r="H182" s="2" t="n">
        <v>301.20681553418734</v>
      </c>
      <c r="I182" s="2" t="n">
        <v>0.3056149554394315</v>
      </c>
      <c r="J182" s="2" t="n">
        <v>0.004335434188787515</v>
      </c>
      <c r="K182" s="2" t="n">
        <v>0.0003612861823989596</v>
      </c>
      <c r="L182" s="2" t="n">
        <v>21.598768107164</v>
      </c>
      <c r="M182" s="2" t="n">
        <v>0.8384744813914886</v>
      </c>
      <c r="N182" s="2" t="n">
        <v>1.4859370968243448</v>
      </c>
      <c r="O182" s="2" t="n">
        <v>5.198875</v>
      </c>
      <c r="P182" s="2" t="n">
        <v>4.359124019444176</v>
      </c>
      <c r="Q182" s="2" t="n">
        <v>28.056939</v>
      </c>
      <c r="R182" s="2" t="n">
        <v>19.725135130034353</v>
      </c>
      <c r="S182" s="2" t="n">
        <v>90.51607364380173</v>
      </c>
      <c r="T182" s="2" t="n">
        <v>107.95328379414238</v>
      </c>
      <c r="U182" s="2" t="n">
        <v>0.0007395963045858774</v>
      </c>
      <c r="V182" s="2" t="n">
        <v>17.742771361902285</v>
      </c>
      <c r="W182" s="2" t="n">
        <v>7.715407980564813e-05</v>
      </c>
      <c r="X182" s="2" t="n">
        <v>305.0618292299591</v>
      </c>
      <c r="Y182" s="2" t="n">
        <v>288.56009323766057</v>
      </c>
      <c r="Z182" s="2" t="n">
        <v>6.86133683066984</v>
      </c>
      <c r="AA182" s="2" t="n">
        <v>310.85364964533875</v>
      </c>
      <c r="AB182" s="2" t="n">
        <v>8.251265607386927</v>
      </c>
      <c r="AC182" s="2" t="n">
        <v>149.5303834828332</v>
      </c>
      <c r="AD182" s="2" t="n">
        <v>0.6024071440103168</v>
      </c>
      <c r="AE182" s="2" t="n">
        <v>307.8685699824921</v>
      </c>
      <c r="AF182" s="2" t="n">
        <v>311.62257439386826</v>
      </c>
      <c r="AG182" s="2" t="n">
        <v>303.9460266354248</v>
      </c>
      <c r="AH182" s="2" t="n">
        <v>7.676547758443462</v>
      </c>
      <c r="AI182" s="2" t="n">
        <v>2.3264102200679213</v>
      </c>
      <c r="AJ182" s="2" t="n">
        <v>311.0844398955195</v>
      </c>
      <c r="AK182" s="2" t="n">
        <v>311.4288778305176</v>
      </c>
      <c r="AL182" s="2" t="n">
        <v>311.59292126033824</v>
      </c>
      <c r="AM182" s="2" t="n">
        <v>8986904923.87011</v>
      </c>
      <c r="AN182" s="2" t="n">
        <v>8983827777.315208</v>
      </c>
      <c r="AO182" s="2" t="n">
        <v>307.8949294328791</v>
      </c>
      <c r="AP182" s="2" t="n">
        <v>161.0726458334184</v>
      </c>
      <c r="AQ182" s="2" t="n">
        <v>1.368026542972158</v>
      </c>
      <c r="AR182" s="2" t="n">
        <v>9.215919763123532</v>
      </c>
      <c r="AS182" s="2" t="n">
        <v>0.9583591738281364</v>
      </c>
      <c r="AT182" s="2" t="n">
        <v>3.2814696984995773</v>
      </c>
      <c r="AU182" s="2" t="n">
        <v>297.54688562075046</v>
      </c>
      <c r="AV182" s="2" t="n">
        <v>9.541565759718648e-11</v>
      </c>
      <c r="AW182" s="2" t="n">
        <v>-2.8308334432835975e-05</v>
      </c>
      <c r="AX182" s="2" t="n">
        <v>96</v>
      </c>
      <c r="AY182" s="2" t="n">
        <v>8.722826123630512e-07</v>
      </c>
      <c r="AZ182" s="2" t="s">
        <v>131</v>
      </c>
      <c r="BA182" s="2" t="n">
        <v>4.48</v>
      </c>
      <c r="BB182" s="2" t="s">
        <v>132</v>
      </c>
      <c r="BC182" s="2" t="n">
        <v>4</v>
      </c>
      <c r="BD182" s="2" t="s">
        <v>133</v>
      </c>
      <c r="BE182" s="2" t="n">
        <v>3000</v>
      </c>
      <c r="BF182" s="2" t="s">
        <v>134</v>
      </c>
      <c r="BG182" s="2" t="n">
        <v>120</v>
      </c>
    </row>
    <row r="183" customFormat="false" ht="15" hidden="false" customHeight="false" outlineLevel="0" collapsed="false">
      <c r="A183" s="2" t="s">
        <v>316</v>
      </c>
      <c r="B183" s="2" t="s">
        <v>128</v>
      </c>
      <c r="C183" s="2" t="s">
        <v>129</v>
      </c>
      <c r="D183" s="2" t="s">
        <v>285</v>
      </c>
      <c r="E183" s="2" t="n">
        <v>0</v>
      </c>
      <c r="F183" s="2" t="n">
        <v>655.7991262084852</v>
      </c>
      <c r="G183" s="2" t="n">
        <v>296.6202907184971</v>
      </c>
      <c r="H183" s="2" t="n">
        <v>298.6751857806534</v>
      </c>
      <c r="I183" s="2" t="n">
        <v>1.2207335571072282</v>
      </c>
      <c r="J183" s="2" t="n">
        <v>0.003870850152624984</v>
      </c>
      <c r="K183" s="2" t="n">
        <v>0.000322570846052082</v>
      </c>
      <c r="L183" s="2" t="n">
        <v>26.57660503869469</v>
      </c>
      <c r="M183" s="2" t="n">
        <v>0.9284069807424187</v>
      </c>
      <c r="N183" s="2" t="n">
        <v>1.2758472353159427</v>
      </c>
      <c r="O183" s="2" t="n">
        <v>5.198875</v>
      </c>
      <c r="P183" s="2" t="n">
        <v>4.826671842007242</v>
      </c>
      <c r="Q183" s="2" t="n">
        <v>28.056939</v>
      </c>
      <c r="R183" s="2" t="n">
        <v>24.183384587392073</v>
      </c>
      <c r="S183" s="2" t="n">
        <v>75.11161609352288</v>
      </c>
      <c r="T183" s="2" t="n">
        <v>80.90376058294866</v>
      </c>
      <c r="U183" s="2" t="n">
        <v>0.0007957691426019953</v>
      </c>
      <c r="V183" s="2" t="n">
        <v>14.466876849979345</v>
      </c>
      <c r="W183" s="2" t="n">
        <v>5.616761530867542e-05</v>
      </c>
      <c r="X183" s="2" t="n">
        <v>425.5526435905694</v>
      </c>
      <c r="Y183" s="2" t="n">
        <v>284.9297463594676</v>
      </c>
      <c r="Z183" s="2" t="n">
        <v>10.338787517007468</v>
      </c>
      <c r="AA183" s="2" t="n">
        <v>309.85307302730575</v>
      </c>
      <c r="AB183" s="2" t="n">
        <v>13.23278230880868</v>
      </c>
      <c r="AC183" s="2" t="n">
        <v>214.108450814368</v>
      </c>
      <c r="AD183" s="2" t="n">
        <v>0.6183424365279674</v>
      </c>
      <c r="AE183" s="2" t="n">
        <v>304.93922388219056</v>
      </c>
      <c r="AF183" s="2" t="n">
        <v>310.91608951178836</v>
      </c>
      <c r="AG183" s="2" t="n">
        <v>298.65183225406975</v>
      </c>
      <c r="AH183" s="2" t="n">
        <v>12.264257257718612</v>
      </c>
      <c r="AI183" s="2" t="n">
        <v>3.7172867809001886</v>
      </c>
      <c r="AJ183" s="2" t="n">
        <v>310.09060892563167</v>
      </c>
      <c r="AK183" s="2" t="n">
        <v>310.5964144047443</v>
      </c>
      <c r="AL183" s="2" t="n">
        <v>310.87250558083946</v>
      </c>
      <c r="AM183" s="2" t="n">
        <v>8654462152.618156</v>
      </c>
      <c r="AN183" s="2" t="n">
        <v>8646755174.386908</v>
      </c>
      <c r="AO183" s="2" t="n">
        <v>305.00715037012554</v>
      </c>
      <c r="AP183" s="2" t="n">
        <v>224.69179581582065</v>
      </c>
      <c r="AQ183" s="2" t="n">
        <v>1.2296634980121628</v>
      </c>
      <c r="AR183" s="2" t="n">
        <v>8.452592434453283</v>
      </c>
      <c r="AS183" s="2" t="n">
        <v>0.9011437492032963</v>
      </c>
      <c r="AT183" s="2" t="n">
        <v>3.1998869887116363</v>
      </c>
      <c r="AU183" s="2" t="n">
        <v>295.47245405461746</v>
      </c>
      <c r="AV183" s="2" t="n">
        <v>7.660588607905083e-11</v>
      </c>
      <c r="AW183" s="2" t="n">
        <v>-2.1577963072487976e-05</v>
      </c>
      <c r="AX183" s="2" t="n">
        <v>103</v>
      </c>
      <c r="AY183" s="2" t="n">
        <v>9.451765095036535e-07</v>
      </c>
      <c r="AZ183" s="2" t="s">
        <v>131</v>
      </c>
      <c r="BA183" s="2" t="n">
        <v>4.48</v>
      </c>
      <c r="BB183" s="2" t="s">
        <v>132</v>
      </c>
      <c r="BC183" s="2" t="n">
        <v>4</v>
      </c>
      <c r="BD183" s="2" t="s">
        <v>133</v>
      </c>
      <c r="BE183" s="2" t="n">
        <v>3000</v>
      </c>
      <c r="BF183" s="2" t="s">
        <v>134</v>
      </c>
      <c r="BG183" s="2" t="n">
        <v>120</v>
      </c>
    </row>
    <row r="184" customFormat="false" ht="15" hidden="false" customHeight="false" outlineLevel="0" collapsed="false">
      <c r="A184" s="2" t="s">
        <v>317</v>
      </c>
      <c r="B184" s="2" t="s">
        <v>128</v>
      </c>
      <c r="C184" s="2" t="s">
        <v>129</v>
      </c>
      <c r="D184" s="2" t="s">
        <v>285</v>
      </c>
      <c r="E184" s="2" t="n">
        <v>0</v>
      </c>
      <c r="F184" s="2" t="n">
        <v>819.5574545373693</v>
      </c>
      <c r="G184" s="2" t="n">
        <v>326.2791836055744</v>
      </c>
      <c r="H184" s="2" t="n">
        <v>285.9847573438376</v>
      </c>
      <c r="I184" s="2" t="n">
        <v>4.971388242420731</v>
      </c>
      <c r="J184" s="2" t="n">
        <v>0.0017684770724361067</v>
      </c>
      <c r="K184" s="2" t="n">
        <v>0.00014737308936967555</v>
      </c>
      <c r="L184" s="2" t="n">
        <v>34.06900665267826</v>
      </c>
      <c r="M184" s="2" t="n">
        <v>0.4891669850265414</v>
      </c>
      <c r="N184" s="2" t="n">
        <v>1.773092502709974</v>
      </c>
      <c r="O184" s="2" t="n">
        <v>5.198875</v>
      </c>
      <c r="P184" s="2" t="n">
        <v>2.5431180092798606</v>
      </c>
      <c r="Q184" s="2" t="n">
        <v>28.056939</v>
      </c>
      <c r="R184" s="2" t="n">
        <v>6.713586109710769</v>
      </c>
      <c r="S184" s="2" t="n">
        <v>65.93608732037244</v>
      </c>
      <c r="T184" s="2" t="n">
        <v>134.79259504153748</v>
      </c>
      <c r="U184" s="2" t="n">
        <v>0.00041415613872398135</v>
      </c>
      <c r="V184" s="2" t="n">
        <v>10.732929362311049</v>
      </c>
      <c r="W184" s="2" t="n">
        <v>1.9038053658298267e-05</v>
      </c>
      <c r="X184" s="2" t="n">
        <v>531.8165691514805</v>
      </c>
      <c r="Y184" s="2" t="n">
        <v>266.9644342307593</v>
      </c>
      <c r="Z184" s="2" t="n">
        <v>24.591275321198776</v>
      </c>
      <c r="AA184" s="2" t="n">
        <v>355.2118284754277</v>
      </c>
      <c r="AB184" s="2" t="n">
        <v>28.932644869853277</v>
      </c>
      <c r="AC184" s="2" t="n">
        <v>213.87688582659553</v>
      </c>
      <c r="AD184" s="2" t="n">
        <v>0.49425437750270296</v>
      </c>
      <c r="AE184" s="2" t="n">
        <v>343.2412352813363</v>
      </c>
      <c r="AF184" s="2" t="n">
        <v>355.865505955841</v>
      </c>
      <c r="AG184" s="2" t="n">
        <v>329.24368158399704</v>
      </c>
      <c r="AH184" s="2" t="n">
        <v>26.621824371843957</v>
      </c>
      <c r="AI184" s="2" t="n">
        <v>8.097775042163798</v>
      </c>
      <c r="AJ184" s="2" t="n">
        <v>354.358102277391</v>
      </c>
      <c r="AK184" s="2" t="n">
        <v>355.33333140168963</v>
      </c>
      <c r="AL184" s="2" t="n">
        <v>355.80224255091895</v>
      </c>
      <c r="AM184" s="2" t="n">
        <v>13926568046.084625</v>
      </c>
      <c r="AN184" s="2" t="n">
        <v>13880267154.335428</v>
      </c>
      <c r="AO184" s="2" t="n">
        <v>343.52711836116055</v>
      </c>
      <c r="AP184" s="2" t="n">
        <v>280.79914851198174</v>
      </c>
      <c r="AQ184" s="2" t="n">
        <v>8.502306901316217</v>
      </c>
      <c r="AR184" s="2" t="n">
        <v>50.18309786805833</v>
      </c>
      <c r="AS184" s="2" t="n">
        <v>8.236909858851584</v>
      </c>
      <c r="AT184" s="2" t="n">
        <v>2.213665845282524</v>
      </c>
      <c r="AU184" s="2" t="n">
        <v>287.0369594410552</v>
      </c>
      <c r="AV184" s="2" t="n">
        <v>1.0895348623307656e-10</v>
      </c>
      <c r="AW184" s="2" t="n">
        <v>-1.8654261606316384e-05</v>
      </c>
      <c r="AX184" s="2" t="n">
        <v>201</v>
      </c>
      <c r="AY184" s="2" t="n">
        <v>9.44326870921941e-07</v>
      </c>
      <c r="AZ184" s="2" t="s">
        <v>131</v>
      </c>
      <c r="BA184" s="2" t="n">
        <v>4.48</v>
      </c>
      <c r="BB184" s="2" t="s">
        <v>132</v>
      </c>
      <c r="BC184" s="2" t="n">
        <v>4</v>
      </c>
      <c r="BD184" s="2" t="s">
        <v>133</v>
      </c>
      <c r="BE184" s="2" t="n">
        <v>3000</v>
      </c>
      <c r="BF184" s="2" t="s">
        <v>134</v>
      </c>
      <c r="BG184" s="2" t="n">
        <v>120</v>
      </c>
    </row>
    <row r="185" customFormat="false" ht="15" hidden="false" customHeight="false" outlineLevel="0" collapsed="false">
      <c r="A185" s="2" t="s">
        <v>318</v>
      </c>
      <c r="B185" s="2" t="s">
        <v>128</v>
      </c>
      <c r="C185" s="2" t="s">
        <v>129</v>
      </c>
      <c r="D185" s="2" t="s">
        <v>285</v>
      </c>
      <c r="E185" s="2" t="n">
        <v>0</v>
      </c>
      <c r="F185" s="2" t="n">
        <v>579.0553231501474</v>
      </c>
      <c r="G185" s="2" t="n">
        <v>332.8947961003202</v>
      </c>
      <c r="H185" s="2" t="n">
        <v>286.45234180833114</v>
      </c>
      <c r="I185" s="2" t="n">
        <v>1.746344087842149</v>
      </c>
      <c r="J185" s="2" t="n">
        <v>0.0024364679095118203</v>
      </c>
      <c r="K185" s="2" t="n">
        <v>0.00020303899245931837</v>
      </c>
      <c r="L185" s="2" t="n">
        <v>20.556175891957338</v>
      </c>
      <c r="M185" s="2" t="n">
        <v>0.913510271340797</v>
      </c>
      <c r="N185" s="2" t="n">
        <v>1.0258242067564085</v>
      </c>
      <c r="O185" s="2" t="n">
        <v>5.198875</v>
      </c>
      <c r="P185" s="2" t="n">
        <v>4.749225711916886</v>
      </c>
      <c r="Q185" s="2" t="n">
        <v>28.056939</v>
      </c>
      <c r="R185" s="2" t="n">
        <v>23.413544097005033</v>
      </c>
      <c r="S185" s="2" t="n">
        <v>89.30589629054506</v>
      </c>
      <c r="T185" s="2" t="n">
        <v>97.76123935581704</v>
      </c>
      <c r="U185" s="2" t="n">
        <v>0.00042127763506356474</v>
      </c>
      <c r="V185" s="2" t="n">
        <v>5.0610724654608505</v>
      </c>
      <c r="W185" s="2" t="n">
        <v>1.2368245385967135e-05</v>
      </c>
      <c r="X185" s="2" t="n">
        <v>375.75305257939266</v>
      </c>
      <c r="Y185" s="2" t="n">
        <v>267.61943119371085</v>
      </c>
      <c r="Z185" s="2" t="n">
        <v>12.336107533800167</v>
      </c>
      <c r="AA185" s="2" t="n">
        <v>346.1963300810603</v>
      </c>
      <c r="AB185" s="2" t="n">
        <v>13.30153398074009</v>
      </c>
      <c r="AC185" s="2" t="n">
        <v>135.46861968986073</v>
      </c>
      <c r="AD185" s="2" t="n">
        <v>0.4430826299591643</v>
      </c>
      <c r="AE185" s="2" t="n">
        <v>340.76903442958167</v>
      </c>
      <c r="AF185" s="2" t="n">
        <v>346.6965837088926</v>
      </c>
      <c r="AG185" s="2" t="n">
        <v>334.3888609058051</v>
      </c>
      <c r="AH185" s="2" t="n">
        <v>12.307722803087529</v>
      </c>
      <c r="AI185" s="2" t="n">
        <v>3.743545777511729</v>
      </c>
      <c r="AJ185" s="2" t="n">
        <v>345.9458108053315</v>
      </c>
      <c r="AK185" s="2" t="n">
        <v>346.4185417630357</v>
      </c>
      <c r="AL185" s="2" t="n">
        <v>346.65717230022585</v>
      </c>
      <c r="AM185" s="2" t="n">
        <v>13494434966.04521</v>
      </c>
      <c r="AN185" s="2" t="n">
        <v>13484675340.501356</v>
      </c>
      <c r="AO185" s="2" t="n">
        <v>340.8306761789091</v>
      </c>
      <c r="AP185" s="2" t="n">
        <v>198.39761176191934</v>
      </c>
      <c r="AQ185" s="2" t="n">
        <v>7.892237976530891</v>
      </c>
      <c r="AR185" s="2" t="n">
        <v>47.2228176047137</v>
      </c>
      <c r="AS185" s="2" t="n">
        <v>7.813992705603964</v>
      </c>
      <c r="AT185" s="2" t="n">
        <v>2.1942370080821685</v>
      </c>
      <c r="AU185" s="2" t="n">
        <v>287.88022565996664</v>
      </c>
      <c r="AV185" s="2" t="n">
        <v>1.308222863372066e-10</v>
      </c>
      <c r="AW185" s="2" t="n">
        <v>-2.6463547731235842e-05</v>
      </c>
      <c r="AX185" s="2" t="n">
        <v>154</v>
      </c>
      <c r="AY185" s="2" t="n">
        <v>9.985864153350121e-07</v>
      </c>
      <c r="AZ185" s="2" t="s">
        <v>131</v>
      </c>
      <c r="BA185" s="2" t="n">
        <v>4.48</v>
      </c>
      <c r="BB185" s="2" t="s">
        <v>132</v>
      </c>
      <c r="BC185" s="2" t="n">
        <v>4</v>
      </c>
      <c r="BD185" s="2" t="s">
        <v>133</v>
      </c>
      <c r="BE185" s="2" t="n">
        <v>3000</v>
      </c>
      <c r="BF185" s="2" t="s">
        <v>134</v>
      </c>
      <c r="BG185" s="2" t="n">
        <v>120</v>
      </c>
    </row>
    <row r="186" customFormat="false" ht="15" hidden="false" customHeight="false" outlineLevel="0" collapsed="false">
      <c r="A186" s="2" t="s">
        <v>319</v>
      </c>
      <c r="B186" s="2" t="s">
        <v>128</v>
      </c>
      <c r="C186" s="2" t="s">
        <v>129</v>
      </c>
      <c r="D186" s="2" t="s">
        <v>285</v>
      </c>
      <c r="E186" s="2" t="n">
        <v>0</v>
      </c>
      <c r="F186" s="2" t="n">
        <v>594.3601219132995</v>
      </c>
      <c r="G186" s="2" t="n">
        <v>326.9945405788925</v>
      </c>
      <c r="H186" s="2" t="n">
        <v>296.0311937635885</v>
      </c>
      <c r="I186" s="2" t="n">
        <v>2.842228210237338</v>
      </c>
      <c r="J186" s="2" t="n">
        <v>0.0031453022545347062</v>
      </c>
      <c r="K186" s="2" t="n">
        <v>0.00026210852121122554</v>
      </c>
      <c r="L186" s="2" t="n">
        <v>21.712227390844223</v>
      </c>
      <c r="M186" s="2" t="n">
        <v>0.6213962857512316</v>
      </c>
      <c r="N186" s="2" t="n">
        <v>1.7104063420141242</v>
      </c>
      <c r="O186" s="2" t="n">
        <v>5.198875</v>
      </c>
      <c r="P186" s="2" t="n">
        <v>3.230561615084935</v>
      </c>
      <c r="Q186" s="2" t="n">
        <v>28.056939</v>
      </c>
      <c r="R186" s="2" t="n">
        <v>10.833719676942843</v>
      </c>
      <c r="S186" s="2" t="n">
        <v>104.66294733181181</v>
      </c>
      <c r="T186" s="2" t="n">
        <v>168.4318843413756</v>
      </c>
      <c r="U186" s="2" t="n">
        <v>0.0004640419759256347</v>
      </c>
      <c r="V186" s="2" t="n">
        <v>13.43928718149812</v>
      </c>
      <c r="W186" s="2" t="n">
        <v>4.2397813712442744e-05</v>
      </c>
      <c r="X186" s="2" t="n">
        <v>385.6844436303934</v>
      </c>
      <c r="Y186" s="2" t="n">
        <v>281.15466409919856</v>
      </c>
      <c r="Z186" s="2" t="n">
        <v>16.500467198901884</v>
      </c>
      <c r="AA186" s="2" t="n">
        <v>339.04308545228815</v>
      </c>
      <c r="AB186" s="2" t="n">
        <v>12.048544873395656</v>
      </c>
      <c r="AC186" s="2" t="n">
        <v>158.40659818036343</v>
      </c>
      <c r="AD186" s="2" t="n">
        <v>0.504765520923495</v>
      </c>
      <c r="AE186" s="2" t="n">
        <v>334.3015250697195</v>
      </c>
      <c r="AF186" s="2" t="n">
        <v>339.7268515705188</v>
      </c>
      <c r="AG186" s="2" t="n">
        <v>328.5388834593684</v>
      </c>
      <c r="AH186" s="2" t="n">
        <v>11.18796811115044</v>
      </c>
      <c r="AI186" s="2" t="n">
        <v>3.396737802547328</v>
      </c>
      <c r="AJ186" s="2" t="n">
        <v>339.0119236049296</v>
      </c>
      <c r="AK186" s="2" t="n">
        <v>339.44805533611765</v>
      </c>
      <c r="AL186" s="2" t="n">
        <v>339.68159514739</v>
      </c>
      <c r="AM186" s="2" t="n">
        <v>12497474702.437103</v>
      </c>
      <c r="AN186" s="2" t="n">
        <v>12489740966.28571</v>
      </c>
      <c r="AO186" s="2" t="n">
        <v>334.3532635260438</v>
      </c>
      <c r="AP186" s="2" t="n">
        <v>203.64138623684772</v>
      </c>
      <c r="AQ186" s="2" t="n">
        <v>5.716386326322631</v>
      </c>
      <c r="AR186" s="2" t="n">
        <v>34.01288963647904</v>
      </c>
      <c r="AS186" s="2" t="n">
        <v>5.505565144630306</v>
      </c>
      <c r="AT186" s="2" t="n">
        <v>2.2385995666295635</v>
      </c>
      <c r="AU186" s="2" t="n">
        <v>296.20762667628276</v>
      </c>
      <c r="AV186" s="2" t="n">
        <v>1.0693582908061217e-10</v>
      </c>
      <c r="AW186" s="2" t="n">
        <v>-2.538368923358549e-05</v>
      </c>
      <c r="AX186" s="2" t="n">
        <v>124</v>
      </c>
      <c r="AY186" s="2" t="n">
        <v>9.934317404258763e-07</v>
      </c>
      <c r="AZ186" s="2" t="s">
        <v>131</v>
      </c>
      <c r="BA186" s="2" t="n">
        <v>4.48</v>
      </c>
      <c r="BB186" s="2" t="s">
        <v>132</v>
      </c>
      <c r="BC186" s="2" t="n">
        <v>4</v>
      </c>
      <c r="BD186" s="2" t="s">
        <v>133</v>
      </c>
      <c r="BE186" s="2" t="n">
        <v>3000</v>
      </c>
      <c r="BF186" s="2" t="s">
        <v>134</v>
      </c>
      <c r="BG186" s="2" t="n">
        <v>120</v>
      </c>
    </row>
    <row r="187" customFormat="false" ht="15" hidden="false" customHeight="false" outlineLevel="0" collapsed="false">
      <c r="A187" s="2" t="s">
        <v>320</v>
      </c>
      <c r="B187" s="2" t="s">
        <v>128</v>
      </c>
      <c r="C187" s="2" t="s">
        <v>129</v>
      </c>
      <c r="D187" s="2" t="s">
        <v>285</v>
      </c>
      <c r="E187" s="2" t="n">
        <v>0</v>
      </c>
      <c r="F187" s="2" t="n">
        <v>410.70690440714503</v>
      </c>
      <c r="G187" s="2" t="n">
        <v>320.1420542511898</v>
      </c>
      <c r="H187" s="2" t="n">
        <v>296.2981592874637</v>
      </c>
      <c r="I187" s="2" t="n">
        <v>0.9875956476776576</v>
      </c>
      <c r="J187" s="2" t="n">
        <v>0.002665405669300759</v>
      </c>
      <c r="K187" s="2" t="n">
        <v>0.00022211713910839657</v>
      </c>
      <c r="L187" s="2" t="n">
        <v>29.7908730579627</v>
      </c>
      <c r="M187" s="2" t="n">
        <v>0.5361920901861852</v>
      </c>
      <c r="N187" s="2" t="n">
        <v>1.2383548732189122</v>
      </c>
      <c r="O187" s="2" t="n">
        <v>5.198875</v>
      </c>
      <c r="P187" s="2" t="n">
        <v>2.787595652866704</v>
      </c>
      <c r="Q187" s="2" t="n">
        <v>28.056939</v>
      </c>
      <c r="R187" s="2" t="n">
        <v>8.06642488615299</v>
      </c>
      <c r="S187" s="2" t="n">
        <v>77.84260628968848</v>
      </c>
      <c r="T187" s="2" t="n">
        <v>145.1767150512398</v>
      </c>
      <c r="U187" s="2" t="n">
        <v>0.0005287298021239166</v>
      </c>
      <c r="V187" s="2" t="n">
        <v>20.51334299496193</v>
      </c>
      <c r="W187" s="2" t="n">
        <v>5.4840903425358615e-05</v>
      </c>
      <c r="X187" s="2" t="n">
        <v>266.5105852181272</v>
      </c>
      <c r="Y187" s="2" t="n">
        <v>281.53507428982994</v>
      </c>
      <c r="Z187" s="2" t="n">
        <v>9.452863461175099</v>
      </c>
      <c r="AA187" s="2" t="n">
        <v>329.57362508672594</v>
      </c>
      <c r="AB187" s="2" t="n">
        <v>9.43157083553615</v>
      </c>
      <c r="AC187" s="2" t="n">
        <v>105.08086272937996</v>
      </c>
      <c r="AD187" s="2" t="n">
        <v>0.48457131676320614</v>
      </c>
      <c r="AE187" s="2" t="n">
        <v>325.79707537150233</v>
      </c>
      <c r="AF187" s="2" t="n">
        <v>330.00985272484604</v>
      </c>
      <c r="AG187" s="2" t="n">
        <v>321.2652798748094</v>
      </c>
      <c r="AH187" s="2" t="n">
        <v>8.744572850036661</v>
      </c>
      <c r="AI187" s="2" t="n">
        <v>2.655676018134059</v>
      </c>
      <c r="AJ187" s="2" t="n">
        <v>329.47654335335164</v>
      </c>
      <c r="AK187" s="2" t="n">
        <v>329.80911646209313</v>
      </c>
      <c r="AL187" s="2" t="n">
        <v>329.9834556860252</v>
      </c>
      <c r="AM187" s="2" t="n">
        <v>11270982218.552322</v>
      </c>
      <c r="AN187" s="2" t="n">
        <v>11266492335.5273</v>
      </c>
      <c r="AO187" s="2" t="n">
        <v>325.82952939891214</v>
      </c>
      <c r="AP187" s="2" t="n">
        <v>140.71758899517116</v>
      </c>
      <c r="AQ187" s="2" t="n">
        <v>4.342688484285061</v>
      </c>
      <c r="AR187" s="2" t="n">
        <v>27.050373882708385</v>
      </c>
      <c r="AS187" s="2" t="n">
        <v>4.243710431914631</v>
      </c>
      <c r="AT187" s="2" t="n">
        <v>2.2880094832479725</v>
      </c>
      <c r="AU187" s="2" t="n">
        <v>295.5010844925857</v>
      </c>
      <c r="AV187" s="2" t="n">
        <v>8.285411468023088e-11</v>
      </c>
      <c r="AW187" s="2" t="n">
        <v>-3.422084827566064e-05</v>
      </c>
      <c r="AX187" s="2" t="n">
        <v>141</v>
      </c>
      <c r="AY187" s="2" t="n">
        <v>9.322671417066886e-07</v>
      </c>
      <c r="AZ187" s="2" t="s">
        <v>131</v>
      </c>
      <c r="BA187" s="2" t="n">
        <v>4.48</v>
      </c>
      <c r="BB187" s="2" t="s">
        <v>132</v>
      </c>
      <c r="BC187" s="2" t="n">
        <v>4</v>
      </c>
      <c r="BD187" s="2" t="s">
        <v>133</v>
      </c>
      <c r="BE187" s="2" t="n">
        <v>3000</v>
      </c>
      <c r="BF187" s="2" t="s">
        <v>134</v>
      </c>
      <c r="BG187" s="2" t="n">
        <v>120</v>
      </c>
    </row>
    <row r="188" customFormat="false" ht="15" hidden="false" customHeight="false" outlineLevel="0" collapsed="false">
      <c r="A188" s="2" t="s">
        <v>321</v>
      </c>
      <c r="B188" s="2" t="s">
        <v>128</v>
      </c>
      <c r="C188" s="2" t="s">
        <v>129</v>
      </c>
      <c r="D188" s="2" t="s">
        <v>285</v>
      </c>
      <c r="E188" s="2" t="n">
        <v>0</v>
      </c>
      <c r="F188" s="2" t="n">
        <v>724.3637728008248</v>
      </c>
      <c r="G188" s="2" t="n">
        <v>328.54542615735176</v>
      </c>
      <c r="H188" s="2" t="n">
        <v>284.2217641623046</v>
      </c>
      <c r="I188" s="2" t="n">
        <v>2.959598059007493</v>
      </c>
      <c r="J188" s="2" t="n">
        <v>0.004375715283514851</v>
      </c>
      <c r="K188" s="2" t="n">
        <v>0.00036464294029290423</v>
      </c>
      <c r="L188" s="2" t="n">
        <v>36.46722767851432</v>
      </c>
      <c r="M188" s="2" t="n">
        <v>0.7041326473680166</v>
      </c>
      <c r="N188" s="2" t="n">
        <v>0.7364006413203552</v>
      </c>
      <c r="O188" s="2" t="n">
        <v>5.198875</v>
      </c>
      <c r="P188" s="2" t="n">
        <v>3.6606976170853978</v>
      </c>
      <c r="Q188" s="2" t="n">
        <v>28.056939</v>
      </c>
      <c r="R188" s="2" t="n">
        <v>13.910708497285976</v>
      </c>
      <c r="S188" s="2" t="n">
        <v>147.15223544685216</v>
      </c>
      <c r="T188" s="2" t="n">
        <v>208.9836851009448</v>
      </c>
      <c r="U188" s="2" t="n">
        <v>0.0004591663289162357</v>
      </c>
      <c r="V188" s="2" t="n">
        <v>19.075574021971903</v>
      </c>
      <c r="W188" s="2" t="n">
        <v>8.372044211610965e-05</v>
      </c>
      <c r="X188" s="2" t="n">
        <v>470.0447227168647</v>
      </c>
      <c r="Y188" s="2" t="n">
        <v>264.49963307672726</v>
      </c>
      <c r="Z188" s="2" t="n">
        <v>16.946472624228473</v>
      </c>
      <c r="AA188" s="2" t="n">
        <v>338.87567542338354</v>
      </c>
      <c r="AB188" s="2" t="n">
        <v>10.330249266031785</v>
      </c>
      <c r="AC188" s="2" t="n">
        <v>188.94531971083424</v>
      </c>
      <c r="AD188" s="2" t="n">
        <v>0.4940210951151737</v>
      </c>
      <c r="AE188" s="2" t="n">
        <v>335.1211952836388</v>
      </c>
      <c r="AF188" s="2" t="n">
        <v>339.8138553219326</v>
      </c>
      <c r="AG188" s="2" t="n">
        <v>330.18531426887154</v>
      </c>
      <c r="AH188" s="2" t="n">
        <v>9.628541053061042</v>
      </c>
      <c r="AI188" s="2" t="n">
        <v>2.9086521846961313</v>
      </c>
      <c r="AJ188" s="2" t="n">
        <v>339.14569623393186</v>
      </c>
      <c r="AK188" s="2" t="n">
        <v>339.5695146252145</v>
      </c>
      <c r="AL188" s="2" t="n">
        <v>339.7766169737822</v>
      </c>
      <c r="AM188" s="2" t="n">
        <v>12618385340.050829</v>
      </c>
      <c r="AN188" s="2" t="n">
        <v>12612686046.296785</v>
      </c>
      <c r="AO188" s="2" t="n">
        <v>335.1590466693255</v>
      </c>
      <c r="AP188" s="2" t="n">
        <v>248.18361359450458</v>
      </c>
      <c r="AQ188" s="2" t="n">
        <v>7.170575162033063</v>
      </c>
      <c r="AR188" s="2" t="n">
        <v>44.74537656021358</v>
      </c>
      <c r="AS188" s="2" t="n">
        <v>7.322385887425936</v>
      </c>
      <c r="AT188" s="2" t="n">
        <v>2.2042238183093734</v>
      </c>
      <c r="AU188" s="2" t="n">
        <v>285.00708129690116</v>
      </c>
      <c r="AV188" s="2" t="n">
        <v>7.927440037747143e-11</v>
      </c>
      <c r="AW188" s="2" t="n">
        <v>-1.885324673664961e-05</v>
      </c>
      <c r="AX188" s="2" t="n">
        <v>98</v>
      </c>
      <c r="AY188" s="2" t="n">
        <v>8.68512074703176e-07</v>
      </c>
      <c r="AZ188" s="2" t="s">
        <v>131</v>
      </c>
      <c r="BA188" s="2" t="n">
        <v>4.48</v>
      </c>
      <c r="BB188" s="2" t="s">
        <v>132</v>
      </c>
      <c r="BC188" s="2" t="n">
        <v>4</v>
      </c>
      <c r="BD188" s="2" t="s">
        <v>133</v>
      </c>
      <c r="BE188" s="2" t="n">
        <v>3000</v>
      </c>
      <c r="BF188" s="2" t="s">
        <v>134</v>
      </c>
      <c r="BG188" s="2" t="n">
        <v>120</v>
      </c>
    </row>
    <row r="189" customFormat="false" ht="15" hidden="false" customHeight="false" outlineLevel="0" collapsed="false">
      <c r="A189" s="2" t="s">
        <v>322</v>
      </c>
      <c r="B189" s="2" t="s">
        <v>128</v>
      </c>
      <c r="C189" s="2" t="s">
        <v>129</v>
      </c>
      <c r="D189" s="2" t="s">
        <v>285</v>
      </c>
      <c r="E189" s="2" t="n">
        <v>0</v>
      </c>
      <c r="F189" s="2" t="n">
        <v>658.1298889177431</v>
      </c>
      <c r="G189" s="2" t="n">
        <v>306.95255190810747</v>
      </c>
      <c r="H189" s="2" t="n">
        <v>300.6576072828619</v>
      </c>
      <c r="I189" s="2" t="n">
        <v>2.8824762853579693</v>
      </c>
      <c r="J189" s="2" t="n">
        <v>0.0017186943461405665</v>
      </c>
      <c r="K189" s="2" t="n">
        <v>0.00014322452884504722</v>
      </c>
      <c r="L189" s="2" t="n">
        <v>21.522253270562796</v>
      </c>
      <c r="M189" s="2" t="n">
        <v>0.8245673574504752</v>
      </c>
      <c r="N189" s="2" t="n">
        <v>0.5691613145964778</v>
      </c>
      <c r="O189" s="2" t="n">
        <v>5.198875</v>
      </c>
      <c r="P189" s="2" t="n">
        <v>4.2868226204653395</v>
      </c>
      <c r="Q189" s="2" t="n">
        <v>28.056939</v>
      </c>
      <c r="R189" s="2" t="n">
        <v>19.076230626286584</v>
      </c>
      <c r="S189" s="2" t="n">
        <v>46.778613339135426</v>
      </c>
      <c r="T189" s="2" t="n">
        <v>56.731100153870734</v>
      </c>
      <c r="U189" s="2" t="n">
        <v>0.0005673344371502838</v>
      </c>
      <c r="V189" s="2" t="n">
        <v>6.593077042440517</v>
      </c>
      <c r="W189" s="2" t="n">
        <v>1.1365580979450035e-05</v>
      </c>
      <c r="X189" s="2" t="n">
        <v>427.0650918279459</v>
      </c>
      <c r="Y189" s="2" t="n">
        <v>287.77123000765647</v>
      </c>
      <c r="Z189" s="2" t="n">
        <v>16.653409884360283</v>
      </c>
      <c r="AA189" s="2" t="n">
        <v>334.5171178787025</v>
      </c>
      <c r="AB189" s="2" t="n">
        <v>27.564565970595027</v>
      </c>
      <c r="AC189" s="2" t="n">
        <v>198.02776621366775</v>
      </c>
      <c r="AD189" s="2" t="n">
        <v>0.5698762415161518</v>
      </c>
      <c r="AE189" s="2" t="n">
        <v>323.0947492715114</v>
      </c>
      <c r="AF189" s="2" t="n">
        <v>335.11570711751375</v>
      </c>
      <c r="AG189" s="2" t="n">
        <v>309.80950660750193</v>
      </c>
      <c r="AH189" s="2" t="n">
        <v>25.30620051001182</v>
      </c>
      <c r="AI189" s="2" t="n">
        <v>7.715563080603813</v>
      </c>
      <c r="AJ189" s="2" t="n">
        <v>333.6871296984473</v>
      </c>
      <c r="AK189" s="2" t="n">
        <v>334.6122130639295</v>
      </c>
      <c r="AL189" s="2" t="n">
        <v>335.04941945857496</v>
      </c>
      <c r="AM189" s="2" t="n">
        <v>10934560609.874058</v>
      </c>
      <c r="AN189" s="2" t="n">
        <v>10897317406.731138</v>
      </c>
      <c r="AO189" s="2" t="n">
        <v>323.37045226764087</v>
      </c>
      <c r="AP189" s="2" t="n">
        <v>225.49036848515544</v>
      </c>
      <c r="AQ189" s="2" t="n">
        <v>3.405920363264454</v>
      </c>
      <c r="AR189" s="2" t="n">
        <v>20.82893051191822</v>
      </c>
      <c r="AS189" s="2" t="n">
        <v>3.2278044809619986</v>
      </c>
      <c r="AT189" s="2" t="n">
        <v>2.318143029463029</v>
      </c>
      <c r="AU189" s="2" t="n">
        <v>299.7666765601008</v>
      </c>
      <c r="AV189" s="2" t="n">
        <v>1.0329102906325712e-10</v>
      </c>
      <c r="AW189" s="2" t="n">
        <v>-2.376164346419206e-05</v>
      </c>
      <c r="AX189" s="2" t="n">
        <v>202</v>
      </c>
      <c r="AY189" s="2" t="n">
        <v>9.831035754359618e-07</v>
      </c>
      <c r="AZ189" s="2" t="s">
        <v>131</v>
      </c>
      <c r="BA189" s="2" t="n">
        <v>4.48</v>
      </c>
      <c r="BB189" s="2" t="s">
        <v>132</v>
      </c>
      <c r="BC189" s="2" t="n">
        <v>4</v>
      </c>
      <c r="BD189" s="2" t="s">
        <v>133</v>
      </c>
      <c r="BE189" s="2" t="n">
        <v>3000</v>
      </c>
      <c r="BF189" s="2" t="s">
        <v>134</v>
      </c>
      <c r="BG189" s="2" t="n">
        <v>120</v>
      </c>
    </row>
    <row r="190" customFormat="false" ht="15" hidden="false" customHeight="false" outlineLevel="0" collapsed="false">
      <c r="A190" s="2" t="s">
        <v>323</v>
      </c>
      <c r="B190" s="2" t="s">
        <v>128</v>
      </c>
      <c r="C190" s="2" t="s">
        <v>129</v>
      </c>
      <c r="D190" s="2" t="s">
        <v>285</v>
      </c>
      <c r="E190" s="2" t="n">
        <v>0</v>
      </c>
      <c r="F190" s="2" t="n">
        <v>969.5017450068754</v>
      </c>
      <c r="G190" s="2" t="n">
        <v>310.2364778902219</v>
      </c>
      <c r="H190" s="2" t="n">
        <v>309.27629426195597</v>
      </c>
      <c r="I190" s="2" t="n">
        <v>1.503492704081898</v>
      </c>
      <c r="J190" s="2" t="n">
        <v>0.004398783510533091</v>
      </c>
      <c r="K190" s="2" t="n">
        <v>0.0003665652925444243</v>
      </c>
      <c r="L190" s="2" t="n">
        <v>27.44244315317582</v>
      </c>
      <c r="M190" s="2" t="n">
        <v>0.6878851094786527</v>
      </c>
      <c r="N190" s="2" t="n">
        <v>1.136876073865622</v>
      </c>
      <c r="O190" s="2" t="n">
        <v>5.198875</v>
      </c>
      <c r="P190" s="2" t="n">
        <v>3.5762286985408305</v>
      </c>
      <c r="Q190" s="2" t="n">
        <v>28.056939</v>
      </c>
      <c r="R190" s="2" t="n">
        <v>13.276148600906486</v>
      </c>
      <c r="S190" s="2" t="n">
        <v>115.79850707332481</v>
      </c>
      <c r="T190" s="2" t="n">
        <v>168.33989495875028</v>
      </c>
      <c r="U190" s="2" t="n">
        <v>0.0005865667886188035</v>
      </c>
      <c r="V190" s="2" t="n">
        <v>22.504107474231855</v>
      </c>
      <c r="W190" s="2" t="n">
        <v>9.928856256460941e-05</v>
      </c>
      <c r="X190" s="2" t="n">
        <v>629.1164688471764</v>
      </c>
      <c r="Y190" s="2" t="n">
        <v>300.23341575580815</v>
      </c>
      <c r="Z190" s="2" t="n">
        <v>11.413272275511211</v>
      </c>
      <c r="AA190" s="2" t="n">
        <v>327.44982153145196</v>
      </c>
      <c r="AB190" s="2" t="n">
        <v>17.21334364123004</v>
      </c>
      <c r="AC190" s="2" t="n">
        <v>316.50028767136223</v>
      </c>
      <c r="AD190" s="2" t="n">
        <v>0.6182891016969677</v>
      </c>
      <c r="AE190" s="2" t="n">
        <v>321.23250676587173</v>
      </c>
      <c r="AF190" s="2" t="n">
        <v>329.0648095729139</v>
      </c>
      <c r="AG190" s="2" t="n">
        <v>313.02992561218235</v>
      </c>
      <c r="AH190" s="2" t="n">
        <v>16.03488396073152</v>
      </c>
      <c r="AI190" s="2" t="n">
        <v>4.84814537905169</v>
      </c>
      <c r="AJ190" s="2" t="n">
        <v>327.94959464252526</v>
      </c>
      <c r="AK190" s="2" t="n">
        <v>328.6624317174243</v>
      </c>
      <c r="AL190" s="2" t="n">
        <v>329.00191585862046</v>
      </c>
      <c r="AM190" s="2" t="n">
        <v>10662790698.927689</v>
      </c>
      <c r="AN190" s="2" t="n">
        <v>10648242844.033443</v>
      </c>
      <c r="AO190" s="2" t="n">
        <v>321.34216926168693</v>
      </c>
      <c r="AP190" s="2" t="n">
        <v>332.17349555130914</v>
      </c>
      <c r="AQ190" s="2" t="n">
        <v>2.0024964165100307</v>
      </c>
      <c r="AR190" s="2" t="n">
        <v>11.950739770544923</v>
      </c>
      <c r="AS190" s="2" t="n">
        <v>1.7200192571315978</v>
      </c>
      <c r="AT190" s="2" t="n">
        <v>2.482734881427637</v>
      </c>
      <c r="AU190" s="2" t="n">
        <v>307.8478672538767</v>
      </c>
      <c r="AV190" s="2" t="n">
        <v>9.476480045123025e-11</v>
      </c>
      <c r="AW190" s="2" t="n">
        <v>-1.4986501144140461e-05</v>
      </c>
      <c r="AX190" s="2" t="n">
        <v>95</v>
      </c>
      <c r="AY190" s="2" t="n">
        <v>9.324771212959604e-07</v>
      </c>
      <c r="AZ190" s="2" t="s">
        <v>131</v>
      </c>
      <c r="BA190" s="2" t="n">
        <v>4.48</v>
      </c>
      <c r="BB190" s="2" t="s">
        <v>132</v>
      </c>
      <c r="BC190" s="2" t="n">
        <v>4</v>
      </c>
      <c r="BD190" s="2" t="s">
        <v>133</v>
      </c>
      <c r="BE190" s="2" t="n">
        <v>3000</v>
      </c>
      <c r="BF190" s="2" t="s">
        <v>134</v>
      </c>
      <c r="BG190" s="2" t="n">
        <v>120</v>
      </c>
    </row>
    <row r="191" customFormat="false" ht="15" hidden="false" customHeight="false" outlineLevel="0" collapsed="false">
      <c r="A191" s="2" t="s">
        <v>324</v>
      </c>
      <c r="B191" s="2" t="s">
        <v>128</v>
      </c>
      <c r="C191" s="2" t="s">
        <v>129</v>
      </c>
      <c r="D191" s="2" t="s">
        <v>285</v>
      </c>
      <c r="E191" s="2" t="n">
        <v>0</v>
      </c>
      <c r="F191" s="2" t="n">
        <v>490.97741315638746</v>
      </c>
      <c r="G191" s="2" t="n">
        <v>308.9782780362449</v>
      </c>
      <c r="H191" s="2" t="n">
        <v>300.00981062917305</v>
      </c>
      <c r="I191" s="2" t="n">
        <v>0.8255660325588331</v>
      </c>
      <c r="J191" s="2" t="n">
        <v>0.004167247376564268</v>
      </c>
      <c r="K191" s="2" t="n">
        <v>0.000347270614713689</v>
      </c>
      <c r="L191" s="2" t="n">
        <v>26.13694728558865</v>
      </c>
      <c r="M191" s="2" t="n">
        <v>0.8071372894371404</v>
      </c>
      <c r="N191" s="2" t="n">
        <v>0.6826332099655632</v>
      </c>
      <c r="O191" s="2" t="n">
        <v>5.198875</v>
      </c>
      <c r="P191" s="2" t="n">
        <v>4.196205875622513</v>
      </c>
      <c r="Q191" s="2" t="n">
        <v>28.056939</v>
      </c>
      <c r="R191" s="2" t="n">
        <v>18.278270996719304</v>
      </c>
      <c r="S191" s="2" t="n">
        <v>98.97105371762309</v>
      </c>
      <c r="T191" s="2" t="n">
        <v>122.6198504428421</v>
      </c>
      <c r="U191" s="2" t="n">
        <v>0.0006501729983352849</v>
      </c>
      <c r="V191" s="2" t="n">
        <v>18.722847763634903</v>
      </c>
      <c r="W191" s="2" t="n">
        <v>7.8257510757091e-05</v>
      </c>
      <c r="X191" s="2" t="n">
        <v>318.5986802390719</v>
      </c>
      <c r="Y191" s="2" t="n">
        <v>286.84168364520804</v>
      </c>
      <c r="Z191" s="2" t="n">
        <v>8.837150923723566</v>
      </c>
      <c r="AA191" s="2" t="n">
        <v>317.5256022194886</v>
      </c>
      <c r="AB191" s="2" t="n">
        <v>8.547324183243688</v>
      </c>
      <c r="AC191" s="2" t="n">
        <v>148.8866436873343</v>
      </c>
      <c r="AD191" s="2" t="n">
        <v>0.5743284154316943</v>
      </c>
      <c r="AE191" s="2" t="n">
        <v>314.39332546845657</v>
      </c>
      <c r="AF191" s="2" t="n">
        <v>318.27300947874954</v>
      </c>
      <c r="AG191" s="2" t="n">
        <v>310.3187784218452</v>
      </c>
      <c r="AH191" s="2" t="n">
        <v>7.954231056904348</v>
      </c>
      <c r="AI191" s="2" t="n">
        <v>2.4075680650471347</v>
      </c>
      <c r="AJ191" s="2" t="n">
        <v>317.72548762111734</v>
      </c>
      <c r="AK191" s="2" t="n">
        <v>318.0713496658053</v>
      </c>
      <c r="AL191" s="2" t="n">
        <v>318.2436025457001</v>
      </c>
      <c r="AM191" s="2" t="n">
        <v>9773407606.337414</v>
      </c>
      <c r="AN191" s="2" t="n">
        <v>9769970891.438221</v>
      </c>
      <c r="AO191" s="2" t="n">
        <v>314.42096981201956</v>
      </c>
      <c r="AP191" s="2" t="n">
        <v>168.22010316622996</v>
      </c>
      <c r="AQ191" s="2" t="n">
        <v>2.294694252390702</v>
      </c>
      <c r="AR191" s="2" t="n">
        <v>14.96960061849834</v>
      </c>
      <c r="AS191" s="2" t="n">
        <v>2.0692106719166437</v>
      </c>
      <c r="AT191" s="2" t="n">
        <v>2.5457199396218955</v>
      </c>
      <c r="AU191" s="2" t="n">
        <v>297.627609557633</v>
      </c>
      <c r="AV191" s="2" t="n">
        <v>8.226834324887024e-11</v>
      </c>
      <c r="AW191" s="2" t="n">
        <v>-2.941459720851236e-05</v>
      </c>
      <c r="AX191" s="2" t="n">
        <v>99</v>
      </c>
      <c r="AY191" s="2" t="n">
        <v>9.448395417166466e-07</v>
      </c>
      <c r="AZ191" s="2" t="s">
        <v>131</v>
      </c>
      <c r="BA191" s="2" t="n">
        <v>4.48</v>
      </c>
      <c r="BB191" s="2" t="s">
        <v>132</v>
      </c>
      <c r="BC191" s="2" t="n">
        <v>4</v>
      </c>
      <c r="BD191" s="2" t="s">
        <v>133</v>
      </c>
      <c r="BE191" s="2" t="n">
        <v>3000</v>
      </c>
      <c r="BF191" s="2" t="s">
        <v>134</v>
      </c>
      <c r="BG191" s="2" t="n">
        <v>120</v>
      </c>
    </row>
    <row r="192" customFormat="false" ht="15" hidden="false" customHeight="false" outlineLevel="0" collapsed="false">
      <c r="A192" s="2" t="s">
        <v>325</v>
      </c>
      <c r="B192" s="2" t="s">
        <v>128</v>
      </c>
      <c r="C192" s="2" t="s">
        <v>129</v>
      </c>
      <c r="D192" s="2" t="s">
        <v>285</v>
      </c>
      <c r="E192" s="2" t="n">
        <v>0</v>
      </c>
      <c r="F192" s="2" t="n">
        <v>815.8476947248176</v>
      </c>
      <c r="G192" s="2" t="n">
        <v>325.35193455815187</v>
      </c>
      <c r="H192" s="2" t="n">
        <v>294.42282505480074</v>
      </c>
      <c r="I192" s="2" t="n">
        <v>2.4195100375647853</v>
      </c>
      <c r="J192" s="2" t="n">
        <v>0.00441984712507604</v>
      </c>
      <c r="K192" s="2" t="n">
        <v>0.0003683205937563367</v>
      </c>
      <c r="L192" s="2" t="n">
        <v>25.159633795530585</v>
      </c>
      <c r="M192" s="2" t="n">
        <v>0.645257927335211</v>
      </c>
      <c r="N192" s="2" t="n">
        <v>1.5183819399680023</v>
      </c>
      <c r="O192" s="2" t="n">
        <v>5.198875</v>
      </c>
      <c r="P192" s="2" t="n">
        <v>3.3546153069748454</v>
      </c>
      <c r="Q192" s="2" t="n">
        <v>28.056939</v>
      </c>
      <c r="R192" s="2" t="n">
        <v>11.681725194453719</v>
      </c>
      <c r="S192" s="2" t="n">
        <v>144.0515039582503</v>
      </c>
      <c r="T192" s="2" t="n">
        <v>223.24639164551573</v>
      </c>
      <c r="U192" s="2" t="n">
        <v>0.000473780620945158</v>
      </c>
      <c r="V192" s="2" t="n">
        <v>18.779950508719136</v>
      </c>
      <c r="W192" s="2" t="n">
        <v>8.325427308428544e-05</v>
      </c>
      <c r="X192" s="2" t="n">
        <v>529.4092800407971</v>
      </c>
      <c r="Y192" s="2" t="n">
        <v>278.86646473106765</v>
      </c>
      <c r="Z192" s="2" t="n">
        <v>14.894138142746183</v>
      </c>
      <c r="AA192" s="2" t="n">
        <v>337.99181736163524</v>
      </c>
      <c r="AB192" s="2" t="n">
        <v>12.639882803483374</v>
      </c>
      <c r="AC192" s="2" t="n">
        <v>233.52134162174562</v>
      </c>
      <c r="AD192" s="2" t="n">
        <v>0.5421051883613899</v>
      </c>
      <c r="AE192" s="2" t="n">
        <v>333.3922254170467</v>
      </c>
      <c r="AF192" s="2" t="n">
        <v>339.15263505594334</v>
      </c>
      <c r="AG192" s="2" t="n">
        <v>327.3570694523528</v>
      </c>
      <c r="AH192" s="2" t="n">
        <v>11.795565603590546</v>
      </c>
      <c r="AI192" s="2" t="n">
        <v>3.564320780327488</v>
      </c>
      <c r="AJ192" s="2" t="n">
        <v>338.3282247930804</v>
      </c>
      <c r="AK192" s="2" t="n">
        <v>338.85880470793865</v>
      </c>
      <c r="AL192" s="2" t="n">
        <v>339.1064863422342</v>
      </c>
      <c r="AM192" s="2" t="n">
        <v>12362876251.461056</v>
      </c>
      <c r="AN192" s="2" t="n">
        <v>12354406077.945765</v>
      </c>
      <c r="AO192" s="2" t="n">
        <v>333.4493541096129</v>
      </c>
      <c r="AP192" s="2" t="n">
        <v>279.52809986154085</v>
      </c>
      <c r="AQ192" s="2" t="n">
        <v>5.75478878030811</v>
      </c>
      <c r="AR192" s="2" t="n">
        <v>34.64587930971318</v>
      </c>
      <c r="AS192" s="2" t="n">
        <v>5.606133132878156</v>
      </c>
      <c r="AT192" s="2" t="n">
        <v>2.2359597788989998</v>
      </c>
      <c r="AU192" s="2" t="n">
        <v>294.58938860191205</v>
      </c>
      <c r="AV192" s="2" t="n">
        <v>8.832131470626335e-11</v>
      </c>
      <c r="AW192" s="2" t="n">
        <v>-1.6343304767944686e-05</v>
      </c>
      <c r="AX192" s="2" t="n">
        <v>97</v>
      </c>
      <c r="AY192" s="2" t="n">
        <v>8.48537354158907e-07</v>
      </c>
      <c r="AZ192" s="2" t="s">
        <v>131</v>
      </c>
      <c r="BA192" s="2" t="n">
        <v>4.48</v>
      </c>
      <c r="BB192" s="2" t="s">
        <v>132</v>
      </c>
      <c r="BC192" s="2" t="n">
        <v>4</v>
      </c>
      <c r="BD192" s="2" t="s">
        <v>133</v>
      </c>
      <c r="BE192" s="2" t="n">
        <v>3000</v>
      </c>
      <c r="BF192" s="2" t="s">
        <v>134</v>
      </c>
      <c r="BG192" s="2" t="n">
        <v>120</v>
      </c>
    </row>
    <row r="193" customFormat="false" ht="15" hidden="false" customHeight="false" outlineLevel="0" collapsed="false">
      <c r="A193" s="2" t="s">
        <v>326</v>
      </c>
      <c r="B193" s="2" t="s">
        <v>128</v>
      </c>
      <c r="C193" s="2" t="s">
        <v>129</v>
      </c>
      <c r="D193" s="2" t="s">
        <v>285</v>
      </c>
      <c r="E193" s="2" t="n">
        <v>0</v>
      </c>
      <c r="F193" s="2" t="n">
        <v>779.8499430685895</v>
      </c>
      <c r="G193" s="2" t="n">
        <v>306.76166915060537</v>
      </c>
      <c r="H193" s="2" t="n">
        <v>286.03677296093764</v>
      </c>
      <c r="I193" s="2" t="n">
        <v>1.9082136365869848</v>
      </c>
      <c r="J193" s="2" t="n">
        <v>0.0013529015806768116</v>
      </c>
      <c r="K193" s="2" t="n">
        <v>0.0001127417983897343</v>
      </c>
      <c r="L193" s="2" t="n">
        <v>32.50776152332047</v>
      </c>
      <c r="M193" s="2" t="n">
        <v>0.8547083910787595</v>
      </c>
      <c r="N193" s="2" t="n">
        <v>1.3029267184809685</v>
      </c>
      <c r="O193" s="2" t="n">
        <v>5.198875</v>
      </c>
      <c r="P193" s="2" t="n">
        <v>4.443522086669587</v>
      </c>
      <c r="Q193" s="2" t="n">
        <v>28.056939</v>
      </c>
      <c r="R193" s="2" t="n">
        <v>20.4963355904654</v>
      </c>
      <c r="S193" s="2" t="n">
        <v>40.20219619437812</v>
      </c>
      <c r="T193" s="2" t="n">
        <v>47.03615480320417</v>
      </c>
      <c r="U193" s="2" t="n">
        <v>0.0005196420256521585</v>
      </c>
      <c r="V193" s="2" t="n">
        <v>3.83548988216358</v>
      </c>
      <c r="W193" s="2" t="n">
        <v>5.204654287110356e-06</v>
      </c>
      <c r="X193" s="2" t="n">
        <v>506.0500870068092</v>
      </c>
      <c r="Y193" s="2" t="n">
        <v>267.0372717728001</v>
      </c>
      <c r="Z193" s="2" t="n">
        <v>12.951211819030542</v>
      </c>
      <c r="AA193" s="2" t="n">
        <v>345.05489831460903</v>
      </c>
      <c r="AB193" s="2" t="n">
        <v>38.29322916400366</v>
      </c>
      <c r="AC193" s="2" t="n">
        <v>216.55313570853573</v>
      </c>
      <c r="AD193" s="2" t="n">
        <v>0.5259197852674934</v>
      </c>
      <c r="AE193" s="2" t="n">
        <v>329.2066622565519</v>
      </c>
      <c r="AF193" s="2" t="n">
        <v>345.59735032286414</v>
      </c>
      <c r="AG193" s="2" t="n">
        <v>310.5959708418387</v>
      </c>
      <c r="AH193" s="2" t="n">
        <v>35.001379481025424</v>
      </c>
      <c r="AI193" s="2" t="n">
        <v>10.663512418571369</v>
      </c>
      <c r="AJ193" s="2" t="n">
        <v>343.76588751151615</v>
      </c>
      <c r="AK193" s="2" t="n">
        <v>344.953028618639</v>
      </c>
      <c r="AL193" s="2" t="n">
        <v>345.52038587809676</v>
      </c>
      <c r="AM193" s="2" t="n">
        <v>11819384911.595755</v>
      </c>
      <c r="AN193" s="2" t="n">
        <v>11745579867.367651</v>
      </c>
      <c r="AO193" s="2" t="n">
        <v>329.7226024782102</v>
      </c>
      <c r="AP193" s="2" t="n">
        <v>267.19444593959525</v>
      </c>
      <c r="AQ193" s="2" t="n">
        <v>6.079792241549893</v>
      </c>
      <c r="AR193" s="2" t="n">
        <v>38.35116265860178</v>
      </c>
      <c r="AS193" s="2" t="n">
        <v>6.210414953094658</v>
      </c>
      <c r="AT193" s="2" t="n">
        <v>2.2217238443799676</v>
      </c>
      <c r="AU193" s="2" t="n">
        <v>286.25396669903995</v>
      </c>
      <c r="AV193" s="2" t="n">
        <v>9.190102900902278e-11</v>
      </c>
      <c r="AW193" s="2" t="n">
        <v>-2.2065015659635192e-05</v>
      </c>
      <c r="AX193" s="2" t="n">
        <v>248</v>
      </c>
      <c r="AY193" s="2" t="n">
        <v>9.980994377656316e-07</v>
      </c>
      <c r="AZ193" s="2" t="s">
        <v>131</v>
      </c>
      <c r="BA193" s="2" t="n">
        <v>4.48</v>
      </c>
      <c r="BB193" s="2" t="s">
        <v>132</v>
      </c>
      <c r="BC193" s="2" t="n">
        <v>4</v>
      </c>
      <c r="BD193" s="2" t="s">
        <v>133</v>
      </c>
      <c r="BE193" s="2" t="n">
        <v>3000</v>
      </c>
      <c r="BF193" s="2" t="s">
        <v>134</v>
      </c>
      <c r="BG193" s="2" t="n">
        <v>120</v>
      </c>
    </row>
    <row r="194" customFormat="false" ht="15" hidden="false" customHeight="false" outlineLevel="0" collapsed="false">
      <c r="A194" s="2" t="s">
        <v>327</v>
      </c>
      <c r="B194" s="2" t="s">
        <v>128</v>
      </c>
      <c r="C194" s="2" t="s">
        <v>129</v>
      </c>
      <c r="D194" s="2" t="s">
        <v>285</v>
      </c>
      <c r="E194" s="2" t="n">
        <v>0</v>
      </c>
      <c r="F194" s="2" t="n">
        <v>869.7658698174889</v>
      </c>
      <c r="G194" s="2" t="n">
        <v>313.2634633102325</v>
      </c>
      <c r="H194" s="2" t="n">
        <v>302.47416790926746</v>
      </c>
      <c r="I194" s="2" t="n">
        <v>2.473346351499189</v>
      </c>
      <c r="J194" s="2" t="n">
        <v>0.0019047284888435835</v>
      </c>
      <c r="K194" s="2" t="n">
        <v>0.00015872737407029864</v>
      </c>
      <c r="L194" s="2" t="n">
        <v>35.296107727784</v>
      </c>
      <c r="M194" s="2" t="n">
        <v>0.8113966517710781</v>
      </c>
      <c r="N194" s="2" t="n">
        <v>1.5578514606237859</v>
      </c>
      <c r="O194" s="2" t="n">
        <v>5.198875</v>
      </c>
      <c r="P194" s="2" t="n">
        <v>4.218349767976363</v>
      </c>
      <c r="Q194" s="2" t="n">
        <v>28.056939</v>
      </c>
      <c r="R194" s="2" t="n">
        <v>18.471693359923535</v>
      </c>
      <c r="S194" s="2" t="n">
        <v>60.197366873653706</v>
      </c>
      <c r="T194" s="2" t="n">
        <v>74.18981424468262</v>
      </c>
      <c r="U194" s="2" t="n">
        <v>0.0004885887063792264</v>
      </c>
      <c r="V194" s="2" t="n">
        <v>5.408988364527346</v>
      </c>
      <c r="W194" s="2" t="n">
        <v>1.0333655199336708e-05</v>
      </c>
      <c r="X194" s="2" t="n">
        <v>564.3971612856571</v>
      </c>
      <c r="Y194" s="2" t="n">
        <v>290.3832180003473</v>
      </c>
      <c r="Z194" s="2" t="n">
        <v>15.098716135696918</v>
      </c>
      <c r="AA194" s="2" t="n">
        <v>346.16537750460196</v>
      </c>
      <c r="AB194" s="2" t="n">
        <v>32.90191419436945</v>
      </c>
      <c r="AC194" s="2" t="n">
        <v>261.95731160864085</v>
      </c>
      <c r="AD194" s="2" t="n">
        <v>0.5704193383561601</v>
      </c>
      <c r="AE194" s="2" t="n">
        <v>332.59859461803296</v>
      </c>
      <c r="AF194" s="2" t="n">
        <v>347.02413230480056</v>
      </c>
      <c r="AG194" s="2" t="n">
        <v>316.7532960417325</v>
      </c>
      <c r="AH194" s="2" t="n">
        <v>30.270836263068077</v>
      </c>
      <c r="AI194" s="2" t="n">
        <v>9.211829004844802</v>
      </c>
      <c r="AJ194" s="2" t="n">
        <v>345.27766944709776</v>
      </c>
      <c r="AK194" s="2" t="n">
        <v>346.4064850286237</v>
      </c>
      <c r="AL194" s="2" t="n">
        <v>346.94506633973845</v>
      </c>
      <c r="AM194" s="2" t="n">
        <v>12293446804.828842</v>
      </c>
      <c r="AN194" s="2" t="n">
        <v>12237188197.723024</v>
      </c>
      <c r="AO194" s="2" t="n">
        <v>332.98020518109024</v>
      </c>
      <c r="AP194" s="2" t="n">
        <v>298.00170115882696</v>
      </c>
      <c r="AQ194" s="2" t="n">
        <v>4.690273195929066</v>
      </c>
      <c r="AR194" s="2" t="n">
        <v>27.020466672414656</v>
      </c>
      <c r="AS194" s="2" t="n">
        <v>4.333696313289547</v>
      </c>
      <c r="AT194" s="2" t="n">
        <v>2.266130737011873</v>
      </c>
      <c r="AU194" s="2" t="n">
        <v>302.33609934158756</v>
      </c>
      <c r="AV194" s="2" t="n">
        <v>9.001354328574964e-11</v>
      </c>
      <c r="AW194" s="2" t="n">
        <v>-1.6953951419528815e-05</v>
      </c>
      <c r="AX194" s="2" t="n">
        <v>183</v>
      </c>
      <c r="AY194" s="2" t="n">
        <v>9.32243665374699e-07</v>
      </c>
      <c r="AZ194" s="2" t="s">
        <v>131</v>
      </c>
      <c r="BA194" s="2" t="n">
        <v>4.48</v>
      </c>
      <c r="BB194" s="2" t="s">
        <v>132</v>
      </c>
      <c r="BC194" s="2" t="n">
        <v>4</v>
      </c>
      <c r="BD194" s="2" t="s">
        <v>133</v>
      </c>
      <c r="BE194" s="2" t="n">
        <v>3000</v>
      </c>
      <c r="BF194" s="2" t="s">
        <v>134</v>
      </c>
      <c r="BG194" s="2" t="n">
        <v>120</v>
      </c>
    </row>
    <row r="195" customFormat="false" ht="15" hidden="false" customHeight="false" outlineLevel="0" collapsed="false">
      <c r="A195" s="2" t="s">
        <v>328</v>
      </c>
      <c r="B195" s="2" t="s">
        <v>128</v>
      </c>
      <c r="C195" s="2" t="s">
        <v>129</v>
      </c>
      <c r="D195" s="2" t="s">
        <v>285</v>
      </c>
      <c r="E195" s="2" t="n">
        <v>0</v>
      </c>
      <c r="F195" s="2" t="n">
        <v>403.4113645979184</v>
      </c>
      <c r="G195" s="2" t="n">
        <v>311.7820829515005</v>
      </c>
      <c r="H195" s="2" t="n">
        <v>292.0568649838342</v>
      </c>
      <c r="I195" s="2" t="n">
        <v>2.7891417862930625</v>
      </c>
      <c r="J195" s="2" t="n">
        <v>0.0015145289118908356</v>
      </c>
      <c r="K195" s="2" t="n">
        <v>0.00012621074265756964</v>
      </c>
      <c r="L195" s="2" t="n">
        <v>33.088814697795925</v>
      </c>
      <c r="M195" s="2" t="n">
        <v>0.5903226114236678</v>
      </c>
      <c r="N195" s="2" t="n">
        <v>1.345063151913</v>
      </c>
      <c r="O195" s="2" t="n">
        <v>5.198875</v>
      </c>
      <c r="P195" s="2" t="n">
        <v>3.069013466465221</v>
      </c>
      <c r="Q195" s="2" t="n">
        <v>28.056939</v>
      </c>
      <c r="R195" s="2" t="n">
        <v>9.777304143074534</v>
      </c>
      <c r="S195" s="2" t="n">
        <v>40.63721104827987</v>
      </c>
      <c r="T195" s="2" t="n">
        <v>68.8389878041026</v>
      </c>
      <c r="U195" s="2" t="n">
        <v>0.0005754949478293158</v>
      </c>
      <c r="V195" s="2" t="n">
        <v>9.869762789135713</v>
      </c>
      <c r="W195" s="2" t="n">
        <v>1.4993020158124746e-05</v>
      </c>
      <c r="X195" s="2" t="n">
        <v>261.7764583671414</v>
      </c>
      <c r="Y195" s="2" t="n">
        <v>275.51180138159435</v>
      </c>
      <c r="Z195" s="2" t="n">
        <v>16.29873878791364</v>
      </c>
      <c r="AA195" s="2" t="n">
        <v>328.05688130147433</v>
      </c>
      <c r="AB195" s="2" t="n">
        <v>16.27479834997382</v>
      </c>
      <c r="AC195" s="2" t="n">
        <v>103.03136801943565</v>
      </c>
      <c r="AD195" s="2" t="n">
        <v>0.4837126165197863</v>
      </c>
      <c r="AE195" s="2" t="n">
        <v>321.3199161260299</v>
      </c>
      <c r="AF195" s="2" t="n">
        <v>328.34857829441364</v>
      </c>
      <c r="AG195" s="2" t="n">
        <v>313.4248307530708</v>
      </c>
      <c r="AH195" s="2" t="n">
        <v>14.923747541342834</v>
      </c>
      <c r="AI195" s="2" t="n">
        <v>4.544888020323618</v>
      </c>
      <c r="AJ195" s="2" t="n">
        <v>327.5387759959157</v>
      </c>
      <c r="AK195" s="2" t="n">
        <v>328.06432354852944</v>
      </c>
      <c r="AL195" s="2" t="n">
        <v>328.3147614532025</v>
      </c>
      <c r="AM195" s="2" t="n">
        <v>10672622384.500395</v>
      </c>
      <c r="AN195" s="2" t="n">
        <v>10659837387.42347</v>
      </c>
      <c r="AO195" s="2" t="n">
        <v>321.41621749727153</v>
      </c>
      <c r="AP195" s="2" t="n">
        <v>138.21797001785066</v>
      </c>
      <c r="AQ195" s="2" t="n">
        <v>4.139885421289812</v>
      </c>
      <c r="AR195" s="2" t="n">
        <v>26.83698770421788</v>
      </c>
      <c r="AS195" s="2" t="n">
        <v>4.209778930453012</v>
      </c>
      <c r="AT195" s="2" t="n">
        <v>2.2773186343365173</v>
      </c>
      <c r="AU195" s="2" t="n">
        <v>291.26291439178334</v>
      </c>
      <c r="AV195" s="2" t="n">
        <v>9.287731472795711e-11</v>
      </c>
      <c r="AW195" s="2" t="n">
        <v>-3.87618352224333e-05</v>
      </c>
      <c r="AX195" s="2" t="n">
        <v>233</v>
      </c>
      <c r="AY195" s="2" t="n">
        <v>9.555088240631449e-07</v>
      </c>
      <c r="AZ195" s="2" t="s">
        <v>131</v>
      </c>
      <c r="BA195" s="2" t="n">
        <v>4.48</v>
      </c>
      <c r="BB195" s="2" t="s">
        <v>132</v>
      </c>
      <c r="BC195" s="2" t="n">
        <v>4</v>
      </c>
      <c r="BD195" s="2" t="s">
        <v>133</v>
      </c>
      <c r="BE195" s="2" t="n">
        <v>3000</v>
      </c>
      <c r="BF195" s="2" t="s">
        <v>134</v>
      </c>
      <c r="BG195" s="2" t="n">
        <v>120</v>
      </c>
    </row>
    <row r="196" customFormat="false" ht="15" hidden="false" customHeight="false" outlineLevel="0" collapsed="false">
      <c r="A196" s="2" t="s">
        <v>329</v>
      </c>
      <c r="B196" s="2" t="s">
        <v>128</v>
      </c>
      <c r="C196" s="2" t="s">
        <v>129</v>
      </c>
      <c r="D196" s="2" t="s">
        <v>285</v>
      </c>
      <c r="E196" s="2" t="n">
        <v>0</v>
      </c>
      <c r="F196" s="2" t="n">
        <v>407.1103843616275</v>
      </c>
      <c r="G196" s="2" t="n">
        <v>292.59571952535975</v>
      </c>
      <c r="H196" s="2" t="n">
        <v>285.5252012208292</v>
      </c>
      <c r="I196" s="2" t="n">
        <v>0.9052673843098158</v>
      </c>
      <c r="J196" s="2" t="n">
        <v>0.004297860498504322</v>
      </c>
      <c r="K196" s="2" t="n">
        <v>0.0003581550415420268</v>
      </c>
      <c r="L196" s="2" t="n">
        <v>33.95485951785578</v>
      </c>
      <c r="M196" s="2" t="n">
        <v>0.5253587897373839</v>
      </c>
      <c r="N196" s="2" t="n">
        <v>1.9745618709378565</v>
      </c>
      <c r="O196" s="2" t="n">
        <v>5.198875</v>
      </c>
      <c r="P196" s="2" t="n">
        <v>2.731274677995942</v>
      </c>
      <c r="Q196" s="2" t="n">
        <v>28.056939</v>
      </c>
      <c r="R196" s="2" t="n">
        <v>7.743767292511268</v>
      </c>
      <c r="S196" s="2" t="n">
        <v>70.92244563480239</v>
      </c>
      <c r="T196" s="2" t="n">
        <v>134.9981137086429</v>
      </c>
      <c r="U196" s="2" t="n">
        <v>0.000935742712150687</v>
      </c>
      <c r="V196" s="2" t="n">
        <v>48.03634026765335</v>
      </c>
      <c r="W196" s="2" t="n">
        <v>0.00020707471346946826</v>
      </c>
      <c r="X196" s="2" t="n">
        <v>264.17677818495054</v>
      </c>
      <c r="Y196" s="2" t="n">
        <v>266.3212049804733</v>
      </c>
      <c r="Z196" s="2" t="n">
        <v>9.1400160603773</v>
      </c>
      <c r="AA196" s="2" t="n">
        <v>299.41345342960955</v>
      </c>
      <c r="AB196" s="2" t="n">
        <v>6.817733904249792</v>
      </c>
      <c r="AC196" s="2" t="n">
        <v>122.48097740810529</v>
      </c>
      <c r="AD196" s="2" t="n">
        <v>0.5698001255486427</v>
      </c>
      <c r="AE196" s="2" t="n">
        <v>296.98730042316595</v>
      </c>
      <c r="AF196" s="2" t="n">
        <v>300.07236609649135</v>
      </c>
      <c r="AG196" s="2" t="n">
        <v>293.741229047008</v>
      </c>
      <c r="AH196" s="2" t="n">
        <v>6.331137049483345</v>
      </c>
      <c r="AI196" s="2" t="n">
        <v>1.9151349608649453</v>
      </c>
      <c r="AJ196" s="2" t="n">
        <v>299.63855997913055</v>
      </c>
      <c r="AK196" s="2" t="n">
        <v>299.91585668482946</v>
      </c>
      <c r="AL196" s="2" t="n">
        <v>300.047989479693</v>
      </c>
      <c r="AM196" s="2" t="n">
        <v>7781437495.803457</v>
      </c>
      <c r="AN196" s="2" t="n">
        <v>7779496948.591386</v>
      </c>
      <c r="AO196" s="2" t="n">
        <v>297.00581910052756</v>
      </c>
      <c r="AP196" s="2" t="n">
        <v>139.4853388816539</v>
      </c>
      <c r="AQ196" s="2" t="n">
        <v>1.7612233048042922</v>
      </c>
      <c r="AR196" s="2" t="n">
        <v>13.594246340343032</v>
      </c>
      <c r="AS196" s="2" t="n">
        <v>1.6489361784691519</v>
      </c>
      <c r="AT196" s="2" t="n">
        <v>2.809714825795042</v>
      </c>
      <c r="AU196" s="2" t="n">
        <v>281.76195954918825</v>
      </c>
      <c r="AV196" s="2" t="n">
        <v>7.107360033842268e-11</v>
      </c>
      <c r="AW196" s="2" t="n">
        <v>-3.339553010810142e-05</v>
      </c>
      <c r="AX196" s="2" t="n">
        <v>95</v>
      </c>
      <c r="AY196" s="2" t="n">
        <v>9.041217481353669e-07</v>
      </c>
      <c r="AZ196" s="2" t="s">
        <v>131</v>
      </c>
      <c r="BA196" s="2" t="n">
        <v>4.48</v>
      </c>
      <c r="BB196" s="2" t="s">
        <v>132</v>
      </c>
      <c r="BC196" s="2" t="n">
        <v>4</v>
      </c>
      <c r="BD196" s="2" t="s">
        <v>133</v>
      </c>
      <c r="BE196" s="2" t="n">
        <v>3000</v>
      </c>
      <c r="BF196" s="2" t="s">
        <v>134</v>
      </c>
      <c r="BG196" s="2" t="n">
        <v>120</v>
      </c>
    </row>
    <row r="197" customFormat="false" ht="15" hidden="false" customHeight="false" outlineLevel="0" collapsed="false">
      <c r="A197" s="2" t="s">
        <v>330</v>
      </c>
      <c r="B197" s="2" t="s">
        <v>128</v>
      </c>
      <c r="C197" s="2" t="s">
        <v>129</v>
      </c>
      <c r="D197" s="2" t="s">
        <v>285</v>
      </c>
      <c r="E197" s="2" t="n">
        <v>0</v>
      </c>
      <c r="F197" s="2" t="n">
        <v>506.9897909791295</v>
      </c>
      <c r="G197" s="2" t="n">
        <v>328.0718185107346</v>
      </c>
      <c r="H197" s="2" t="n">
        <v>303.4332431436064</v>
      </c>
      <c r="I197" s="2" t="n">
        <v>2.705642686347121</v>
      </c>
      <c r="J197" s="2" t="n">
        <v>0.00418952867827738</v>
      </c>
      <c r="K197" s="2" t="n">
        <v>0.00034912738985644836</v>
      </c>
      <c r="L197" s="2" t="n">
        <v>33.25382599592861</v>
      </c>
      <c r="M197" s="2" t="n">
        <v>0.7819796529205675</v>
      </c>
      <c r="N197" s="2" t="n">
        <v>1.0773170684353048</v>
      </c>
      <c r="O197" s="2" t="n">
        <v>5.198875</v>
      </c>
      <c r="P197" s="2" t="n">
        <v>4.065414468077416</v>
      </c>
      <c r="Q197" s="2" t="n">
        <v>28.056939</v>
      </c>
      <c r="R197" s="2" t="n">
        <v>17.156598725388914</v>
      </c>
      <c r="S197" s="2" t="n">
        <v>137.28549425035706</v>
      </c>
      <c r="T197" s="2" t="n">
        <v>175.56146600185568</v>
      </c>
      <c r="U197" s="2" t="n">
        <v>0.0004712250373942157</v>
      </c>
      <c r="V197" s="2" t="n">
        <v>13.319034639763409</v>
      </c>
      <c r="W197" s="2" t="n">
        <v>5.5968382738474056e-05</v>
      </c>
      <c r="X197" s="2" t="n">
        <v>328.9892242948939</v>
      </c>
      <c r="Y197" s="2" t="n">
        <v>291.76541868091874</v>
      </c>
      <c r="Z197" s="2" t="n">
        <v>15.98144220811906</v>
      </c>
      <c r="AA197" s="2" t="n">
        <v>335.9691245684108</v>
      </c>
      <c r="AB197" s="2" t="n">
        <v>7.8973060576761895</v>
      </c>
      <c r="AC197" s="2" t="n">
        <v>138.29943907683054</v>
      </c>
      <c r="AD197" s="2" t="n">
        <v>0.5166391128339565</v>
      </c>
      <c r="AE197" s="2" t="n">
        <v>333.07091900468134</v>
      </c>
      <c r="AF197" s="2" t="n">
        <v>336.6535771223718</v>
      </c>
      <c r="AG197" s="2" t="n">
        <v>329.2893728075992</v>
      </c>
      <c r="AH197" s="2" t="n">
        <v>7.364204314772621</v>
      </c>
      <c r="AI197" s="2" t="n">
        <v>2.223394519863295</v>
      </c>
      <c r="AJ197" s="2" t="n">
        <v>336.1479710239653</v>
      </c>
      <c r="AK197" s="2" t="n">
        <v>336.4716030508305</v>
      </c>
      <c r="AL197" s="2" t="n">
        <v>336.62632168604523</v>
      </c>
      <c r="AM197" s="2" t="n">
        <v>12310138359.242392</v>
      </c>
      <c r="AN197" s="2" t="n">
        <v>12306848698.939428</v>
      </c>
      <c r="AO197" s="2" t="n">
        <v>333.09317450634705</v>
      </c>
      <c r="AP197" s="2" t="n">
        <v>173.70631042770398</v>
      </c>
      <c r="AQ197" s="2" t="n">
        <v>4.580285838303022</v>
      </c>
      <c r="AR197" s="2" t="n">
        <v>26.562956162424307</v>
      </c>
      <c r="AS197" s="2" t="n">
        <v>4.263672396336035</v>
      </c>
      <c r="AT197" s="2" t="n">
        <v>2.262608876009588</v>
      </c>
      <c r="AU197" s="2" t="n">
        <v>303.3208282627454</v>
      </c>
      <c r="AV197" s="2" t="n">
        <v>9.502514330961277e-11</v>
      </c>
      <c r="AW197" s="2" t="n">
        <v>-2.6960437058301682e-05</v>
      </c>
      <c r="AX197" s="2" t="n">
        <v>101</v>
      </c>
      <c r="AY197" s="2" t="n">
        <v>8.773812396611902e-07</v>
      </c>
      <c r="AZ197" s="2" t="s">
        <v>131</v>
      </c>
      <c r="BA197" s="2" t="n">
        <v>4.48</v>
      </c>
      <c r="BB197" s="2" t="s">
        <v>132</v>
      </c>
      <c r="BC197" s="2" t="n">
        <v>4</v>
      </c>
      <c r="BD197" s="2" t="s">
        <v>133</v>
      </c>
      <c r="BE197" s="2" t="n">
        <v>3000</v>
      </c>
      <c r="BF197" s="2" t="s">
        <v>134</v>
      </c>
      <c r="BG197" s="2" t="n">
        <v>120</v>
      </c>
    </row>
    <row r="198" customFormat="false" ht="15" hidden="false" customHeight="false" outlineLevel="0" collapsed="false">
      <c r="A198" s="2" t="s">
        <v>331</v>
      </c>
      <c r="B198" s="2" t="s">
        <v>128</v>
      </c>
      <c r="C198" s="2" t="s">
        <v>129</v>
      </c>
      <c r="D198" s="2" t="s">
        <v>285</v>
      </c>
      <c r="E198" s="2" t="n">
        <v>0</v>
      </c>
      <c r="F198" s="2" t="n">
        <v>519.429501557912</v>
      </c>
      <c r="G198" s="2" t="n">
        <v>330.85869739746215</v>
      </c>
      <c r="H198" s="2" t="n">
        <v>298.9358113391366</v>
      </c>
      <c r="I198" s="2" t="n">
        <v>1.1223309006793645</v>
      </c>
      <c r="J198" s="2" t="n">
        <v>0.002690484201381819</v>
      </c>
      <c r="K198" s="2" t="n">
        <v>0.00022420701678181826</v>
      </c>
      <c r="L198" s="2" t="n">
        <v>25.576727561677338</v>
      </c>
      <c r="M198" s="2" t="n">
        <v>0.361488278186669</v>
      </c>
      <c r="N198" s="2" t="n">
        <v>1.1803064659210583</v>
      </c>
      <c r="O198" s="2" t="n">
        <v>5.198875</v>
      </c>
      <c r="P198" s="2" t="n">
        <v>1.8793323722577193</v>
      </c>
      <c r="Q198" s="2" t="n">
        <v>28.056939</v>
      </c>
      <c r="R198" s="2" t="n">
        <v>3.6663061415480453</v>
      </c>
      <c r="S198" s="2" t="n">
        <v>94.66648829190748</v>
      </c>
      <c r="T198" s="2" t="n">
        <v>261.8798284878899</v>
      </c>
      <c r="U198" s="2" t="n">
        <v>0.0004388559801572979</v>
      </c>
      <c r="V198" s="2" t="n">
        <v>45.564058203388214</v>
      </c>
      <c r="W198" s="2" t="n">
        <v>0.0001229582535075804</v>
      </c>
      <c r="X198" s="2" t="n">
        <v>337.06143956743995</v>
      </c>
      <c r="Y198" s="2" t="n">
        <v>285.302774528696</v>
      </c>
      <c r="Z198" s="2" t="n">
        <v>9.964857422581584</v>
      </c>
      <c r="AA198" s="2" t="n">
        <v>342.606729795569</v>
      </c>
      <c r="AB198" s="2" t="n">
        <v>11.74803239810683</v>
      </c>
      <c r="AC198" s="2" t="n">
        <v>132.1210034593098</v>
      </c>
      <c r="AD198" s="2" t="n">
        <v>0.4817384697401353</v>
      </c>
      <c r="AE198" s="2" t="n">
        <v>337.88688518055415</v>
      </c>
      <c r="AF198" s="2" t="n">
        <v>343.1460657173735</v>
      </c>
      <c r="AG198" s="2" t="n">
        <v>332.2418563514049</v>
      </c>
      <c r="AH198" s="2" t="n">
        <v>10.904209365968597</v>
      </c>
      <c r="AI198" s="2" t="n">
        <v>3.3140588343128567</v>
      </c>
      <c r="AJ198" s="2" t="n">
        <v>342.48076897881936</v>
      </c>
      <c r="AK198" s="2" t="n">
        <v>342.8942172766546</v>
      </c>
      <c r="AL198" s="2" t="n">
        <v>343.1128513584614</v>
      </c>
      <c r="AM198" s="2" t="n">
        <v>13041749191.044977</v>
      </c>
      <c r="AN198" s="2" t="n">
        <v>13034228828.416397</v>
      </c>
      <c r="AO198" s="2" t="n">
        <v>337.93561231153654</v>
      </c>
      <c r="AP198" s="2" t="n">
        <v>177.9684400916083</v>
      </c>
      <c r="AQ198" s="2" t="n">
        <v>5.952540293499143</v>
      </c>
      <c r="AR198" s="2" t="n">
        <v>34.29144854570219</v>
      </c>
      <c r="AS198" s="2" t="n">
        <v>5.60349668185064</v>
      </c>
      <c r="AT198" s="2" t="n">
        <v>2.2292650185351106</v>
      </c>
      <c r="AU198" s="2" t="n">
        <v>299.48100521489744</v>
      </c>
      <c r="AV198" s="2" t="n">
        <v>9.2031200438214e-11</v>
      </c>
      <c r="AW198" s="2" t="n">
        <v>-2.842712826640888e-05</v>
      </c>
      <c r="AX198" s="2" t="n">
        <v>141</v>
      </c>
      <c r="AY198" s="2" t="n">
        <v>9.68438939707994e-07</v>
      </c>
      <c r="AZ198" s="2" t="s">
        <v>131</v>
      </c>
      <c r="BA198" s="2" t="n">
        <v>4.48</v>
      </c>
      <c r="BB198" s="2" t="s">
        <v>132</v>
      </c>
      <c r="BC198" s="2" t="n">
        <v>4</v>
      </c>
      <c r="BD198" s="2" t="s">
        <v>133</v>
      </c>
      <c r="BE198" s="2" t="n">
        <v>3000</v>
      </c>
      <c r="BF198" s="2" t="s">
        <v>134</v>
      </c>
      <c r="BG198" s="2" t="n">
        <v>120</v>
      </c>
    </row>
    <row r="199" customFormat="false" ht="15" hidden="false" customHeight="false" outlineLevel="0" collapsed="false">
      <c r="A199" s="2" t="s">
        <v>332</v>
      </c>
      <c r="B199" s="2" t="s">
        <v>128</v>
      </c>
      <c r="C199" s="2" t="s">
        <v>129</v>
      </c>
      <c r="D199" s="2" t="s">
        <v>285</v>
      </c>
      <c r="E199" s="2" t="n">
        <v>0</v>
      </c>
      <c r="F199" s="2" t="n">
        <v>434.9156509085758</v>
      </c>
      <c r="G199" s="2" t="n">
        <v>322.5566745201821</v>
      </c>
      <c r="H199" s="2" t="n">
        <v>312.212011826538</v>
      </c>
      <c r="I199" s="2" t="n">
        <v>0.12725248327003338</v>
      </c>
      <c r="J199" s="2" t="n">
        <v>0.004276363943564164</v>
      </c>
      <c r="K199" s="2" t="n">
        <v>0.0003563636619636804</v>
      </c>
      <c r="L199" s="2" t="n">
        <v>36.094862609983096</v>
      </c>
      <c r="M199" s="2" t="n">
        <v>0.6261101430217562</v>
      </c>
      <c r="N199" s="2" t="n">
        <v>0.8140189959446189</v>
      </c>
      <c r="O199" s="2" t="n">
        <v>5.198875</v>
      </c>
      <c r="P199" s="2" t="n">
        <v>3.255068369802233</v>
      </c>
      <c r="Q199" s="2" t="n">
        <v>28.056939</v>
      </c>
      <c r="R199" s="2" t="n">
        <v>10.998710393541787</v>
      </c>
      <c r="S199" s="2" t="n">
        <v>127.68900956884269</v>
      </c>
      <c r="T199" s="2" t="n">
        <v>203.94017089802315</v>
      </c>
      <c r="U199" s="2" t="n">
        <v>0.0005171410136019765</v>
      </c>
      <c r="V199" s="2" t="n">
        <v>27.050027610792664</v>
      </c>
      <c r="W199" s="2" t="n">
        <v>0.00011602383424995873</v>
      </c>
      <c r="X199" s="2" t="n">
        <v>282.21981028413114</v>
      </c>
      <c r="Y199" s="2" t="n">
        <v>304.51836505044434</v>
      </c>
      <c r="Z199" s="2" t="n">
        <v>6.183559436426127</v>
      </c>
      <c r="AA199" s="2" t="n">
        <v>329.8317656502065</v>
      </c>
      <c r="AB199" s="2" t="n">
        <v>7.27509113002435</v>
      </c>
      <c r="AC199" s="2" t="n">
        <v>130.04371830934275</v>
      </c>
      <c r="AD199" s="2" t="n">
        <v>0.5663050307016794</v>
      </c>
      <c r="AE199" s="2" t="n">
        <v>327.1777027662324</v>
      </c>
      <c r="AF199" s="2" t="n">
        <v>330.4825901164078</v>
      </c>
      <c r="AG199" s="2" t="n">
        <v>323.70209214473874</v>
      </c>
      <c r="AH199" s="2" t="n">
        <v>6.7804979716690355</v>
      </c>
      <c r="AI199" s="2" t="n">
        <v>2.049346236201079</v>
      </c>
      <c r="AJ199" s="2" t="n">
        <v>330.01413576430883</v>
      </c>
      <c r="AK199" s="2" t="n">
        <v>330.3104036627099</v>
      </c>
      <c r="AL199" s="2" t="n">
        <v>330.45691399063855</v>
      </c>
      <c r="AM199" s="2" t="n">
        <v>11461382173.986712</v>
      </c>
      <c r="AN199" s="2" t="n">
        <v>11458685373.590233</v>
      </c>
      <c r="AO199" s="2" t="n">
        <v>327.1969513769827</v>
      </c>
      <c r="AP199" s="2" t="n">
        <v>149.01205983002126</v>
      </c>
      <c r="AQ199" s="2" t="n">
        <v>2.489779344048087</v>
      </c>
      <c r="AR199" s="2" t="n">
        <v>14.325645225389275</v>
      </c>
      <c r="AS199" s="2" t="n">
        <v>2.1529624539647427</v>
      </c>
      <c r="AT199" s="2" t="n">
        <v>2.4004831710391348</v>
      </c>
      <c r="AU199" s="2" t="n">
        <v>311.13320670991646</v>
      </c>
      <c r="AV199" s="2" t="n">
        <v>9.645702903071652e-11</v>
      </c>
      <c r="AW199" s="2" t="n">
        <v>-3.288396336728618e-05</v>
      </c>
      <c r="AX199" s="2" t="n">
        <v>99</v>
      </c>
      <c r="AY199" s="2" t="n">
        <v>9.193532264362148e-07</v>
      </c>
      <c r="AZ199" s="2" t="s">
        <v>131</v>
      </c>
      <c r="BA199" s="2" t="n">
        <v>4.48</v>
      </c>
      <c r="BB199" s="2" t="s">
        <v>132</v>
      </c>
      <c r="BC199" s="2" t="n">
        <v>4</v>
      </c>
      <c r="BD199" s="2" t="s">
        <v>133</v>
      </c>
      <c r="BE199" s="2" t="n">
        <v>3000</v>
      </c>
      <c r="BF199" s="2" t="s">
        <v>134</v>
      </c>
      <c r="BG199" s="2" t="n">
        <v>120</v>
      </c>
    </row>
    <row r="200" customFormat="false" ht="15" hidden="false" customHeight="false" outlineLevel="0" collapsed="false">
      <c r="A200" s="2" t="s">
        <v>333</v>
      </c>
      <c r="B200" s="2" t="s">
        <v>128</v>
      </c>
      <c r="C200" s="2" t="s">
        <v>129</v>
      </c>
      <c r="D200" s="2" t="s">
        <v>285</v>
      </c>
      <c r="E200" s="2" t="n">
        <v>0</v>
      </c>
      <c r="F200" s="2" t="n">
        <v>938.7686621181698</v>
      </c>
      <c r="G200" s="2" t="n">
        <v>312.7447562790327</v>
      </c>
      <c r="H200" s="2" t="n">
        <v>304.1210819057889</v>
      </c>
      <c r="I200" s="2" t="n">
        <v>1.1717093838419304</v>
      </c>
      <c r="J200" s="2" t="n">
        <v>0.00370576664262986</v>
      </c>
      <c r="K200" s="2" t="n">
        <v>0.0003088138868858217</v>
      </c>
      <c r="L200" s="2" t="n">
        <v>36.92648287942697</v>
      </c>
      <c r="M200" s="2" t="n">
        <v>0.38298232699126317</v>
      </c>
      <c r="N200" s="2" t="n">
        <v>0.948131022028728</v>
      </c>
      <c r="O200" s="2" t="n">
        <v>5.198875</v>
      </c>
      <c r="P200" s="2" t="n">
        <v>1.9910772452367034</v>
      </c>
      <c r="Q200" s="2" t="n">
        <v>28.056939</v>
      </c>
      <c r="R200" s="2" t="n">
        <v>4.115264512229664</v>
      </c>
      <c r="S200" s="2" t="n">
        <v>103.64601019687407</v>
      </c>
      <c r="T200" s="2" t="n">
        <v>270.6287024028619</v>
      </c>
      <c r="U200" s="2" t="n">
        <v>0.0005520943725750185</v>
      </c>
      <c r="V200" s="2" t="n">
        <v>79.21514112829226</v>
      </c>
      <c r="W200" s="2" t="n">
        <v>0.0002944361359924194</v>
      </c>
      <c r="X200" s="2" t="n">
        <v>609.1735562291151</v>
      </c>
      <c r="Y200" s="2" t="n">
        <v>292.75806496329017</v>
      </c>
      <c r="Z200" s="2" t="n">
        <v>10.152495658599335</v>
      </c>
      <c r="AA200" s="2" t="n">
        <v>331.8639687712955</v>
      </c>
      <c r="AB200" s="2" t="n">
        <v>19.119212492262818</v>
      </c>
      <c r="AC200" s="2" t="n">
        <v>296.158600728411</v>
      </c>
      <c r="AD200" s="2" t="n">
        <v>0.5974916541290554</v>
      </c>
      <c r="AE200" s="2" t="n">
        <v>324.6398649840532</v>
      </c>
      <c r="AF200" s="2" t="n">
        <v>333.2656742391026</v>
      </c>
      <c r="AG200" s="2" t="n">
        <v>315.5330914784155</v>
      </c>
      <c r="AH200" s="2" t="n">
        <v>17.732582760687137</v>
      </c>
      <c r="AI200" s="2" t="n">
        <v>5.3709384149837</v>
      </c>
      <c r="AJ200" s="2" t="n">
        <v>332.10049508706265</v>
      </c>
      <c r="AK200" s="2" t="n">
        <v>332.80749651587325</v>
      </c>
      <c r="AL200" s="2" t="n">
        <v>333.19995992234</v>
      </c>
      <c r="AM200" s="2" t="n">
        <v>11125505499.305447</v>
      </c>
      <c r="AN200" s="2" t="n">
        <v>11107271720.537886</v>
      </c>
      <c r="AO200" s="2" t="n">
        <v>324.7730158402148</v>
      </c>
      <c r="AP200" s="2" t="n">
        <v>321.6436376889728</v>
      </c>
      <c r="AQ200" s="2" t="n">
        <v>3.2116588964767123</v>
      </c>
      <c r="AR200" s="2" t="n">
        <v>19.321602651042443</v>
      </c>
      <c r="AS200" s="2" t="n">
        <v>2.9518296045643178</v>
      </c>
      <c r="AT200" s="2" t="n">
        <v>2.3523381124263265</v>
      </c>
      <c r="AU200" s="2" t="n">
        <v>302.9999756346412</v>
      </c>
      <c r="AV200" s="2" t="n">
        <v>9.13803432922577e-11</v>
      </c>
      <c r="AW200" s="2" t="n">
        <v>-1.527189284997631e-05</v>
      </c>
      <c r="AX200" s="2" t="n">
        <v>108</v>
      </c>
      <c r="AY200" s="2" t="n">
        <v>9.378741196996998e-07</v>
      </c>
      <c r="AZ200" s="2" t="s">
        <v>131</v>
      </c>
      <c r="BA200" s="2" t="n">
        <v>4.48</v>
      </c>
      <c r="BB200" s="2" t="s">
        <v>132</v>
      </c>
      <c r="BC200" s="2" t="n">
        <v>4</v>
      </c>
      <c r="BD200" s="2" t="s">
        <v>133</v>
      </c>
      <c r="BE200" s="2" t="n">
        <v>3000</v>
      </c>
      <c r="BF200" s="2" t="s">
        <v>134</v>
      </c>
      <c r="BG200" s="2" t="n">
        <v>120</v>
      </c>
    </row>
    <row r="201" customFormat="false" ht="15" hidden="false" customHeight="false" outlineLevel="0" collapsed="false">
      <c r="A201" s="2" t="s">
        <v>334</v>
      </c>
      <c r="B201" s="2" t="s">
        <v>128</v>
      </c>
      <c r="C201" s="2" t="s">
        <v>129</v>
      </c>
      <c r="D201" s="2" t="s">
        <v>285</v>
      </c>
      <c r="E201" s="2" t="n">
        <v>0</v>
      </c>
      <c r="F201" s="2" t="n">
        <v>744.1663692835425</v>
      </c>
      <c r="G201" s="2" t="n">
        <v>290.8408288575277</v>
      </c>
      <c r="H201" s="2" t="n">
        <v>289.53154926421473</v>
      </c>
      <c r="I201" s="2" t="n">
        <v>4.621950134602884</v>
      </c>
      <c r="J201" s="2" t="n">
        <v>0.0021854694041808878</v>
      </c>
      <c r="K201" s="2" t="n">
        <v>0.0001821224503484073</v>
      </c>
      <c r="L201" s="2" t="n">
        <v>27.969645651978194</v>
      </c>
      <c r="M201" s="2" t="n">
        <v>0.4449839761600678</v>
      </c>
      <c r="N201" s="2" t="n">
        <v>0.7081933959452977</v>
      </c>
      <c r="O201" s="2" t="n">
        <v>5.198875</v>
      </c>
      <c r="P201" s="2" t="n">
        <v>2.3134160690591723</v>
      </c>
      <c r="Q201" s="2" t="n">
        <v>28.056939</v>
      </c>
      <c r="R201" s="2" t="n">
        <v>5.555575226568418</v>
      </c>
      <c r="S201" s="2" t="n">
        <v>42.7885249527813</v>
      </c>
      <c r="T201" s="2" t="n">
        <v>96.15745115592567</v>
      </c>
      <c r="U201" s="2" t="n">
        <v>0.0007886880437522874</v>
      </c>
      <c r="V201" s="2" t="n">
        <v>54.05419924386541</v>
      </c>
      <c r="W201" s="2" t="n">
        <v>0.00011848926641420816</v>
      </c>
      <c r="X201" s="2" t="n">
        <v>482.89476619267566</v>
      </c>
      <c r="Y201" s="2" t="n">
        <v>271.94615267854357</v>
      </c>
      <c r="Z201" s="2" t="n">
        <v>23.26341051149096</v>
      </c>
      <c r="AA201" s="2" t="n">
        <v>316.4740512807685</v>
      </c>
      <c r="AB201" s="2" t="n">
        <v>25.633222423240795</v>
      </c>
      <c r="AC201" s="2" t="n">
        <v>234.16620554680506</v>
      </c>
      <c r="AD201" s="2" t="n">
        <v>0.5959643162071225</v>
      </c>
      <c r="AE201" s="2" t="n">
        <v>306.0709872603915</v>
      </c>
      <c r="AF201" s="2" t="n">
        <v>317.36698333456843</v>
      </c>
      <c r="AG201" s="2" t="n">
        <v>293.7961139928439</v>
      </c>
      <c r="AH201" s="2" t="n">
        <v>23.570869341724517</v>
      </c>
      <c r="AI201" s="2" t="n">
        <v>7.179147232129888</v>
      </c>
      <c r="AJ201" s="2" t="n">
        <v>315.9791903315742</v>
      </c>
      <c r="AK201" s="2" t="n">
        <v>316.8755680561152</v>
      </c>
      <c r="AL201" s="2" t="n">
        <v>317.3029774836369</v>
      </c>
      <c r="AM201" s="2" t="n">
        <v>8804782475.120663</v>
      </c>
      <c r="AN201" s="2" t="n">
        <v>8775839210.387642</v>
      </c>
      <c r="AO201" s="2" t="n">
        <v>306.32303604551305</v>
      </c>
      <c r="AP201" s="2" t="n">
        <v>254.96843654973276</v>
      </c>
      <c r="AQ201" s="2" t="n">
        <v>2.292244371712785</v>
      </c>
      <c r="AR201" s="2" t="n">
        <v>16.13066938290458</v>
      </c>
      <c r="AS201" s="2" t="n">
        <v>2.379361511535625</v>
      </c>
      <c r="AT201" s="2" t="n">
        <v>2.38207397297172</v>
      </c>
      <c r="AU201" s="2" t="n">
        <v>288.0048926986564</v>
      </c>
      <c r="AV201" s="2" t="n">
        <v>8.428600040133461e-11</v>
      </c>
      <c r="AW201" s="2" t="n">
        <v>-1.8300751792228972e-05</v>
      </c>
      <c r="AX201" s="2" t="n">
        <v>158</v>
      </c>
      <c r="AY201" s="2" t="n">
        <v>9.120281561081356e-07</v>
      </c>
      <c r="AZ201" s="2" t="s">
        <v>131</v>
      </c>
      <c r="BA201" s="2" t="n">
        <v>4.48</v>
      </c>
      <c r="BB201" s="2" t="s">
        <v>132</v>
      </c>
      <c r="BC201" s="2" t="n">
        <v>4</v>
      </c>
      <c r="BD201" s="2" t="s">
        <v>133</v>
      </c>
      <c r="BE201" s="2" t="n">
        <v>3000</v>
      </c>
      <c r="BF201" s="2" t="s">
        <v>134</v>
      </c>
      <c r="BG201" s="2" t="n">
        <v>120</v>
      </c>
    </row>
    <row r="202" customFormat="false" ht="15" hidden="false" customHeight="false" outlineLevel="0" collapsed="false">
      <c r="A202" s="2" t="s">
        <v>335</v>
      </c>
      <c r="B202" s="2" t="s">
        <v>128</v>
      </c>
      <c r="C202" s="2" t="s">
        <v>129</v>
      </c>
      <c r="D202" s="2" t="s">
        <v>285</v>
      </c>
      <c r="E202" s="2" t="n">
        <v>0</v>
      </c>
      <c r="F202" s="2" t="n">
        <v>946.0517563959519</v>
      </c>
      <c r="G202" s="2" t="n">
        <v>314.6546171857806</v>
      </c>
      <c r="H202" s="2" t="n">
        <v>290.694913322091</v>
      </c>
      <c r="I202" s="2" t="n">
        <v>0.4013355600521526</v>
      </c>
      <c r="J202" s="2" t="n">
        <v>0.0012058388333087311</v>
      </c>
      <c r="K202" s="2" t="n">
        <v>0.00010048656944239427</v>
      </c>
      <c r="L202" s="2" t="n">
        <v>23.1941079131769</v>
      </c>
      <c r="M202" s="2" t="n">
        <v>0.9906510268750374</v>
      </c>
      <c r="N202" s="2" t="n">
        <v>1.1029922924825484</v>
      </c>
      <c r="O202" s="2" t="n">
        <v>5.198875</v>
      </c>
      <c r="P202" s="2" t="n">
        <v>5.15027085734496</v>
      </c>
      <c r="Q202" s="2" t="n">
        <v>28.056939</v>
      </c>
      <c r="R202" s="2" t="n">
        <v>27.53478413165473</v>
      </c>
      <c r="S202" s="2" t="n">
        <v>44.85803782783077</v>
      </c>
      <c r="T202" s="2" t="n">
        <v>45.28137215920864</v>
      </c>
      <c r="U202" s="2" t="n">
        <v>0.00041508480423307914</v>
      </c>
      <c r="V202" s="2" t="n">
        <v>2.0957016844178646</v>
      </c>
      <c r="W202" s="2" t="n">
        <v>2.5346825216665803e-06</v>
      </c>
      <c r="X202" s="2" t="n">
        <v>613.8996070876278</v>
      </c>
      <c r="Y202" s="2" t="n">
        <v>273.58685455320847</v>
      </c>
      <c r="Z202" s="2" t="n">
        <v>7.2250751281981795</v>
      </c>
      <c r="AA202" s="2" t="n">
        <v>366.5321982366485</v>
      </c>
      <c r="AB202" s="2" t="n">
        <v>51.877581050867946</v>
      </c>
      <c r="AC202" s="2" t="n">
        <v>261.4840875626974</v>
      </c>
      <c r="AD202" s="2" t="n">
        <v>0.5234756037131857</v>
      </c>
      <c r="AE202" s="2" t="n">
        <v>345.041949285792</v>
      </c>
      <c r="AF202" s="2" t="n">
        <v>367.07948677723545</v>
      </c>
      <c r="AG202" s="2" t="n">
        <v>319.7695339859533</v>
      </c>
      <c r="AH202" s="2" t="n">
        <v>47.30995279128217</v>
      </c>
      <c r="AI202" s="2" t="n">
        <v>14.430662153809527</v>
      </c>
      <c r="AJ202" s="2" t="n">
        <v>364.68460134113496</v>
      </c>
      <c r="AK202" s="2" t="n">
        <v>366.2596021746493</v>
      </c>
      <c r="AL202" s="2" t="n">
        <v>367.00795281519675</v>
      </c>
      <c r="AM202" s="2" t="n">
        <v>14322219851.957724</v>
      </c>
      <c r="AN202" s="2" t="n">
        <v>14173842240.785156</v>
      </c>
      <c r="AO202" s="2" t="n">
        <v>345.94143613800543</v>
      </c>
      <c r="AP202" s="2" t="n">
        <v>324.1389925422675</v>
      </c>
      <c r="AQ202" s="2" t="n">
        <v>8.288797088683088</v>
      </c>
      <c r="AR202" s="2" t="n">
        <v>46.54769574365962</v>
      </c>
      <c r="AS202" s="2" t="n">
        <v>7.818357895108863</v>
      </c>
      <c r="AT202" s="2" t="n">
        <v>2.1834602505938814</v>
      </c>
      <c r="AU202" s="2" t="n">
        <v>292.9092663218068</v>
      </c>
      <c r="AV202" s="2" t="n">
        <v>1.2099434343326722e-10</v>
      </c>
      <c r="AW202" s="2" t="n">
        <v>1.7669235262588812e-05</v>
      </c>
      <c r="AX202" s="2" t="n">
        <v>272</v>
      </c>
      <c r="AY202" s="2" t="n">
        <v>9.58676992013352e-07</v>
      </c>
      <c r="AZ202" s="2" t="s">
        <v>131</v>
      </c>
      <c r="BA202" s="2" t="n">
        <v>4.48</v>
      </c>
      <c r="BB202" s="2" t="s">
        <v>132</v>
      </c>
      <c r="BC202" s="2" t="n">
        <v>4</v>
      </c>
      <c r="BD202" s="2" t="s">
        <v>133</v>
      </c>
      <c r="BE202" s="2" t="n">
        <v>3000</v>
      </c>
      <c r="BF202" s="2" t="s">
        <v>134</v>
      </c>
      <c r="BG202" s="2" t="n">
        <v>120</v>
      </c>
    </row>
    <row r="203" customFormat="false" ht="15" hidden="false" customHeight="false" outlineLevel="0" collapsed="false">
      <c r="A203" s="2" t="s">
        <v>336</v>
      </c>
      <c r="B203" s="2" t="s">
        <v>128</v>
      </c>
      <c r="C203" s="2" t="s">
        <v>129</v>
      </c>
      <c r="D203" s="2" t="s">
        <v>285</v>
      </c>
      <c r="E203" s="2" t="n">
        <v>0</v>
      </c>
      <c r="F203" s="2" t="n">
        <v>602.2517194113565</v>
      </c>
      <c r="G203" s="2" t="n">
        <v>311.159284433603</v>
      </c>
      <c r="H203" s="2" t="n">
        <v>294.7815903088029</v>
      </c>
      <c r="I203" s="2" t="n">
        <v>1.6511668535070043</v>
      </c>
      <c r="J203" s="2" t="n">
        <v>0.0031943509018916363</v>
      </c>
      <c r="K203" s="2" t="n">
        <v>0.0002661959084909697</v>
      </c>
      <c r="L203" s="2" t="n">
        <v>23.044657277721473</v>
      </c>
      <c r="M203" s="2" t="n">
        <v>0.4993332297802373</v>
      </c>
      <c r="N203" s="2" t="n">
        <v>1.9395399635080806</v>
      </c>
      <c r="O203" s="2" t="n">
        <v>5.198875</v>
      </c>
      <c r="P203" s="2" t="n">
        <v>2.5959710449737314</v>
      </c>
      <c r="Q203" s="2" t="n">
        <v>28.056939</v>
      </c>
      <c r="R203" s="2" t="n">
        <v>6.995539692241914</v>
      </c>
      <c r="S203" s="2" t="n">
        <v>82.4739103396289</v>
      </c>
      <c r="T203" s="2" t="n">
        <v>165.1680789919122</v>
      </c>
      <c r="U203" s="2" t="n">
        <v>0.0005980725602030482</v>
      </c>
      <c r="V203" s="2" t="n">
        <v>25.513873883661926</v>
      </c>
      <c r="W203" s="2" t="n">
        <v>8.174550255870105e-05</v>
      </c>
      <c r="X203" s="2" t="n">
        <v>390.80535648806506</v>
      </c>
      <c r="Y203" s="2" t="n">
        <v>279.3763338442246</v>
      </c>
      <c r="Z203" s="2" t="n">
        <v>11.974434043326617</v>
      </c>
      <c r="AA203" s="2" t="n">
        <v>324.3624434790114</v>
      </c>
      <c r="AB203" s="2" t="n">
        <v>13.203159045408427</v>
      </c>
      <c r="AC203" s="2" t="n">
        <v>176.29368615888993</v>
      </c>
      <c r="AD203" s="2" t="n">
        <v>0.5544019989605922</v>
      </c>
      <c r="AE203" s="2" t="n">
        <v>319.21207957298765</v>
      </c>
      <c r="AF203" s="2" t="n">
        <v>325.1643918280424</v>
      </c>
      <c r="AG203" s="2" t="n">
        <v>312.9077196173827</v>
      </c>
      <c r="AH203" s="2" t="n">
        <v>12.256672210659701</v>
      </c>
      <c r="AI203" s="2" t="n">
        <v>3.718992590161485</v>
      </c>
      <c r="AJ203" s="2" t="n">
        <v>324.3862858102295</v>
      </c>
      <c r="AK203" s="2" t="n">
        <v>324.85678205359653</v>
      </c>
      <c r="AL203" s="2" t="n">
        <v>325.11526580977954</v>
      </c>
      <c r="AM203" s="2" t="n">
        <v>10391319218.323725</v>
      </c>
      <c r="AN203" s="2" t="n">
        <v>10382866499.004225</v>
      </c>
      <c r="AO203" s="2" t="n">
        <v>319.277027599882</v>
      </c>
      <c r="AP203" s="2" t="n">
        <v>206.34522822569835</v>
      </c>
      <c r="AQ203" s="2" t="n">
        <v>3.543303702057752</v>
      </c>
      <c r="AR203" s="2" t="n">
        <v>22.993718652021148</v>
      </c>
      <c r="AS203" s="2" t="n">
        <v>3.514567174327352</v>
      </c>
      <c r="AT203" s="2" t="n">
        <v>2.3297036237581312</v>
      </c>
      <c r="AU203" s="2" t="n">
        <v>293.45947838623243</v>
      </c>
      <c r="AV203" s="2" t="n">
        <v>8.09015432423621e-11</v>
      </c>
      <c r="AW203" s="2" t="n">
        <v>-2.2097580244380256e-05</v>
      </c>
      <c r="AX203" s="2" t="n">
        <v>121</v>
      </c>
      <c r="AY203" s="2" t="n">
        <v>8.89008333615493e-07</v>
      </c>
      <c r="AZ203" s="2" t="s">
        <v>131</v>
      </c>
      <c r="BA203" s="2" t="n">
        <v>4.48</v>
      </c>
      <c r="BB203" s="2" t="s">
        <v>132</v>
      </c>
      <c r="BC203" s="2" t="n">
        <v>4</v>
      </c>
      <c r="BD203" s="2" t="s">
        <v>133</v>
      </c>
      <c r="BE203" s="2" t="n">
        <v>3000</v>
      </c>
      <c r="BF203" s="2" t="s">
        <v>134</v>
      </c>
      <c r="BG203" s="2" t="n">
        <v>120</v>
      </c>
    </row>
    <row r="204" customFormat="false" ht="15" hidden="false" customHeight="false" outlineLevel="0" collapsed="false">
      <c r="A204" s="2" t="s">
        <v>337</v>
      </c>
      <c r="B204" s="2" t="s">
        <v>128</v>
      </c>
      <c r="C204" s="2" t="s">
        <v>129</v>
      </c>
      <c r="D204" s="2" t="s">
        <v>285</v>
      </c>
      <c r="E204" s="2" t="n">
        <v>0</v>
      </c>
      <c r="F204" s="2" t="n">
        <v>866.1545675969296</v>
      </c>
      <c r="G204" s="2" t="n">
        <v>314.9107665076464</v>
      </c>
      <c r="H204" s="2" t="n">
        <v>294.2312382309998</v>
      </c>
      <c r="I204" s="2" t="n">
        <v>3.920820950692851</v>
      </c>
      <c r="J204" s="2" t="n">
        <v>0.002482337431213045</v>
      </c>
      <c r="K204" s="2" t="n">
        <v>0.00020686145260108709</v>
      </c>
      <c r="L204" s="2" t="n">
        <v>30.16716640500593</v>
      </c>
      <c r="M204" s="2" t="n">
        <v>0.8696339233518403</v>
      </c>
      <c r="N204" s="2" t="n">
        <v>1.4335014347606192</v>
      </c>
      <c r="O204" s="2" t="n">
        <v>5.198875</v>
      </c>
      <c r="P204" s="2" t="n">
        <v>4.521118063265799</v>
      </c>
      <c r="Q204" s="2" t="n">
        <v>28.056939</v>
      </c>
      <c r="R204" s="2" t="n">
        <v>21.21842936614473</v>
      </c>
      <c r="S204" s="2" t="n">
        <v>75.33752384689907</v>
      </c>
      <c r="T204" s="2" t="n">
        <v>86.63130752365865</v>
      </c>
      <c r="U204" s="2" t="n">
        <v>0.0005087885341462883</v>
      </c>
      <c r="V204" s="2" t="n">
        <v>6.588684518331006</v>
      </c>
      <c r="W204" s="2" t="n">
        <v>1.640455185788059e-05</v>
      </c>
      <c r="X204" s="2" t="n">
        <v>562.0537619956207</v>
      </c>
      <c r="Y204" s="2" t="n">
        <v>278.59431303344206</v>
      </c>
      <c r="Z204" s="2" t="n">
        <v>20.599119612632833</v>
      </c>
      <c r="AA204" s="2" t="n">
        <v>339.47161551495293</v>
      </c>
      <c r="AB204" s="2" t="n">
        <v>24.560849007306558</v>
      </c>
      <c r="AC204" s="2" t="n">
        <v>254.84755600281292</v>
      </c>
      <c r="AD204" s="2" t="n">
        <v>0.5572513773171197</v>
      </c>
      <c r="AE204" s="2" t="n">
        <v>329.549438988707</v>
      </c>
      <c r="AF204" s="2" t="n">
        <v>340.473198275431</v>
      </c>
      <c r="AG204" s="2" t="n">
        <v>317.76633654707075</v>
      </c>
      <c r="AH204" s="2" t="n">
        <v>22.706861728360252</v>
      </c>
      <c r="AI204" s="2" t="n">
        <v>6.897183379102088</v>
      </c>
      <c r="AJ204" s="2" t="n">
        <v>339.1007771661478</v>
      </c>
      <c r="AK204" s="2" t="n">
        <v>339.96620511635535</v>
      </c>
      <c r="AL204" s="2" t="n">
        <v>340.4109672234505</v>
      </c>
      <c r="AM204" s="2" t="n">
        <v>11825551262.60373</v>
      </c>
      <c r="AN204" s="2" t="n">
        <v>11794575278.668375</v>
      </c>
      <c r="AO204" s="2" t="n">
        <v>329.7655993782096</v>
      </c>
      <c r="AP204" s="2" t="n">
        <v>296.76438633368775</v>
      </c>
      <c r="AQ204" s="2" t="n">
        <v>5.175367861655853</v>
      </c>
      <c r="AR204" s="2" t="n">
        <v>31.660636316491402</v>
      </c>
      <c r="AS204" s="2" t="n">
        <v>5.0808720078034995</v>
      </c>
      <c r="AT204" s="2" t="n">
        <v>2.2477910688979046</v>
      </c>
      <c r="AU204" s="2" t="n">
        <v>294.090027106852</v>
      </c>
      <c r="AV204" s="2" t="n">
        <v>6.912102890055395e-11</v>
      </c>
      <c r="AW204" s="2" t="n">
        <v>-1.5998513792825903e-05</v>
      </c>
      <c r="AX204" s="2" t="n">
        <v>147</v>
      </c>
      <c r="AY204" s="2" t="n">
        <v>9.105837079914636e-07</v>
      </c>
      <c r="AZ204" s="2" t="s">
        <v>131</v>
      </c>
      <c r="BA204" s="2" t="n">
        <v>4.48</v>
      </c>
      <c r="BB204" s="2" t="s">
        <v>132</v>
      </c>
      <c r="BC204" s="2" t="n">
        <v>4</v>
      </c>
      <c r="BD204" s="2" t="s">
        <v>133</v>
      </c>
      <c r="BE204" s="2" t="n">
        <v>3000</v>
      </c>
      <c r="BF204" s="2" t="s">
        <v>134</v>
      </c>
      <c r="BG204" s="2" t="n">
        <v>120</v>
      </c>
    </row>
    <row r="205" customFormat="false" ht="15" hidden="false" customHeight="false" outlineLevel="0" collapsed="false">
      <c r="A205" s="2" t="s">
        <v>338</v>
      </c>
      <c r="B205" s="2" t="s">
        <v>128</v>
      </c>
      <c r="C205" s="2" t="s">
        <v>129</v>
      </c>
      <c r="D205" s="2" t="s">
        <v>285</v>
      </c>
      <c r="E205" s="2" t="n">
        <v>0</v>
      </c>
      <c r="F205" s="2" t="n">
        <v>487.4752547849894</v>
      </c>
      <c r="G205" s="2" t="n">
        <v>329.49880162174867</v>
      </c>
      <c r="H205" s="2" t="n">
        <v>307.0299739486133</v>
      </c>
      <c r="I205" s="2" t="n">
        <v>3.8276700837653372</v>
      </c>
      <c r="J205" s="2" t="n">
        <v>0.0033027374125444197</v>
      </c>
      <c r="K205" s="2" t="n">
        <v>0.00027522811771203497</v>
      </c>
      <c r="L205" s="2" t="n">
        <v>31.738506221770237</v>
      </c>
      <c r="M205" s="2" t="n">
        <v>0.8759544709847902</v>
      </c>
      <c r="N205" s="2" t="n">
        <v>0.6681874268396631</v>
      </c>
      <c r="O205" s="2" t="n">
        <v>5.198875</v>
      </c>
      <c r="P205" s="2" t="n">
        <v>4.553977800341051</v>
      </c>
      <c r="Q205" s="2" t="n">
        <v>28.056939</v>
      </c>
      <c r="R205" s="2" t="n">
        <v>21.527983667009053</v>
      </c>
      <c r="S205" s="2" t="n">
        <v>112.10117563428136</v>
      </c>
      <c r="T205" s="2" t="n">
        <v>127.97602997362615</v>
      </c>
      <c r="U205" s="2" t="n">
        <v>0.00045493748291304347</v>
      </c>
      <c r="V205" s="2" t="n">
        <v>8.519360971968542</v>
      </c>
      <c r="W205" s="2" t="n">
        <v>2.8221877846631188e-05</v>
      </c>
      <c r="X205" s="2" t="n">
        <v>316.32610515676305</v>
      </c>
      <c r="Y205" s="2" t="n">
        <v>296.9684015485935</v>
      </c>
      <c r="Z205" s="2" t="n">
        <v>20.24514631830828</v>
      </c>
      <c r="AA205" s="2" t="n">
        <v>339.1434151099833</v>
      </c>
      <c r="AB205" s="2" t="n">
        <v>9.644613488234654</v>
      </c>
      <c r="AC205" s="2" t="n">
        <v>133.1481558319747</v>
      </c>
      <c r="AD205" s="2" t="n">
        <v>0.5173073609075493</v>
      </c>
      <c r="AE205" s="2" t="n">
        <v>335.4072620500079</v>
      </c>
      <c r="AF205" s="2" t="n">
        <v>339.7474467200358</v>
      </c>
      <c r="AG205" s="2" t="n">
        <v>330.7785194369358</v>
      </c>
      <c r="AH205" s="2" t="n">
        <v>8.968927283099958</v>
      </c>
      <c r="AI205" s="2" t="n">
        <v>2.713744517380887</v>
      </c>
      <c r="AJ205" s="2" t="n">
        <v>339.1652084440834</v>
      </c>
      <c r="AK205" s="2" t="n">
        <v>339.5284145534114</v>
      </c>
      <c r="AL205" s="2" t="n">
        <v>339.71264060981315</v>
      </c>
      <c r="AM205" s="2" t="n">
        <v>12660776397.582247</v>
      </c>
      <c r="AN205" s="2" t="n">
        <v>12655807076.948843</v>
      </c>
      <c r="AO205" s="2" t="n">
        <v>335.4401817376878</v>
      </c>
      <c r="AP205" s="2" t="n">
        <v>167.0201835227709</v>
      </c>
      <c r="AQ205" s="2" t="n">
        <v>4.489876207131927</v>
      </c>
      <c r="AR205" s="2" t="n">
        <v>25.299852147981834</v>
      </c>
      <c r="AS205" s="2" t="n">
        <v>4.082353168579492</v>
      </c>
      <c r="AT205" s="2" t="n">
        <v>2.260665901793916</v>
      </c>
      <c r="AU205" s="2" t="n">
        <v>307.07182782507994</v>
      </c>
      <c r="AV205" s="2" t="n">
        <v>9.138034329225774e-11</v>
      </c>
      <c r="AW205" s="2" t="n">
        <v>-3.0941270327202254e-05</v>
      </c>
      <c r="AX205" s="2" t="n">
        <v>120</v>
      </c>
      <c r="AY205" s="2" t="n">
        <v>9.891157901620318e-07</v>
      </c>
      <c r="AZ205" s="2" t="s">
        <v>131</v>
      </c>
      <c r="BA205" s="2" t="n">
        <v>4.48</v>
      </c>
      <c r="BB205" s="2" t="s">
        <v>132</v>
      </c>
      <c r="BC205" s="2" t="n">
        <v>4</v>
      </c>
      <c r="BD205" s="2" t="s">
        <v>133</v>
      </c>
      <c r="BE205" s="2" t="n">
        <v>3000</v>
      </c>
      <c r="BF205" s="2" t="s">
        <v>134</v>
      </c>
      <c r="BG205" s="2" t="n">
        <v>120</v>
      </c>
    </row>
    <row r="206" customFormat="false" ht="15" hidden="false" customHeight="false" outlineLevel="0" collapsed="false">
      <c r="A206" s="2" t="s">
        <v>339</v>
      </c>
      <c r="B206" s="2" t="s">
        <v>128</v>
      </c>
      <c r="C206" s="2" t="s">
        <v>129</v>
      </c>
      <c r="D206" s="2" t="s">
        <v>285</v>
      </c>
      <c r="E206" s="2" t="n">
        <v>0</v>
      </c>
      <c r="F206" s="2" t="n">
        <v>857.9231859787683</v>
      </c>
      <c r="G206" s="2" t="n">
        <v>304.0073605933861</v>
      </c>
      <c r="H206" s="2" t="n">
        <v>287.5237770299491</v>
      </c>
      <c r="I206" s="2" t="n">
        <v>4.928132681844895</v>
      </c>
      <c r="J206" s="2" t="n">
        <v>0.0010420916260504278</v>
      </c>
      <c r="K206" s="2" t="n">
        <v>8.684096883753566e-05</v>
      </c>
      <c r="L206" s="2" t="n">
        <v>23.385168888239434</v>
      </c>
      <c r="M206" s="2" t="n">
        <v>0.9363016776952913</v>
      </c>
      <c r="N206" s="2" t="n">
        <v>1.8480371831785234</v>
      </c>
      <c r="O206" s="2" t="n">
        <v>5.198875</v>
      </c>
      <c r="P206" s="2" t="n">
        <v>4.867715384628108</v>
      </c>
      <c r="Q206" s="2" t="n">
        <v>28.056939</v>
      </c>
      <c r="R206" s="2" t="n">
        <v>24.59641947743408</v>
      </c>
      <c r="S206" s="2" t="n">
        <v>33.7049412855857</v>
      </c>
      <c r="T206" s="2" t="n">
        <v>35.99795032787989</v>
      </c>
      <c r="U206" s="2" t="n">
        <v>0.0004774195209436686</v>
      </c>
      <c r="V206" s="2" t="n">
        <v>2.24867916382696</v>
      </c>
      <c r="W206" s="2" t="n">
        <v>2.350380868904868e-06</v>
      </c>
      <c r="X206" s="2" t="n">
        <v>556.7123608439246</v>
      </c>
      <c r="Y206" s="2" t="n">
        <v>269.1223243489409</v>
      </c>
      <c r="Z206" s="2" t="n">
        <v>24.4269041910106</v>
      </c>
      <c r="AA206" s="2" t="n">
        <v>358.37787313276766</v>
      </c>
      <c r="AB206" s="2" t="n">
        <v>54.37051253938154</v>
      </c>
      <c r="AC206" s="2" t="n">
        <v>236.8348533332818</v>
      </c>
      <c r="AD206" s="2" t="n">
        <v>0.5228333560819064</v>
      </c>
      <c r="AE206" s="2" t="n">
        <v>336.13880678342264</v>
      </c>
      <c r="AF206" s="2" t="n">
        <v>358.8030011275213</v>
      </c>
      <c r="AG206" s="2" t="n">
        <v>309.5402919631887</v>
      </c>
      <c r="AH206" s="2" t="n">
        <v>49.26270916433265</v>
      </c>
      <c r="AI206" s="2" t="n">
        <v>15.033628513210115</v>
      </c>
      <c r="AJ206" s="2" t="n">
        <v>356.45506605978557</v>
      </c>
      <c r="AK206" s="2" t="n">
        <v>358.0047176347902</v>
      </c>
      <c r="AL206" s="2" t="n">
        <v>358.7451491379142</v>
      </c>
      <c r="AM206" s="2" t="n">
        <v>12919299372.55959</v>
      </c>
      <c r="AN206" s="2" t="n">
        <v>12766581332.772083</v>
      </c>
      <c r="AO206" s="2" t="n">
        <v>337.1395792741334</v>
      </c>
      <c r="AP206" s="2" t="n">
        <v>293.9441265255922</v>
      </c>
      <c r="AQ206" s="2" t="n">
        <v>7.186394560803984</v>
      </c>
      <c r="AR206" s="2" t="n">
        <v>42.929069195875734</v>
      </c>
      <c r="AS206" s="2" t="n">
        <v>6.993752188212966</v>
      </c>
      <c r="AT206" s="2" t="n">
        <v>2.2248572675291935</v>
      </c>
      <c r="AU206" s="2" t="n">
        <v>288.05892831527285</v>
      </c>
      <c r="AV206" s="2" t="n">
        <v>1.0784702908495094e-10</v>
      </c>
      <c r="AW206" s="2" t="n">
        <v>2.0878940725214932e-05</v>
      </c>
      <c r="AX206" s="2" t="n">
        <v>330</v>
      </c>
      <c r="AY206" s="2" t="n">
        <v>9.528444593343011e-07</v>
      </c>
      <c r="AZ206" s="2" t="s">
        <v>131</v>
      </c>
      <c r="BA206" s="2" t="n">
        <v>4.48</v>
      </c>
      <c r="BB206" s="2" t="s">
        <v>132</v>
      </c>
      <c r="BC206" s="2" t="n">
        <v>4</v>
      </c>
      <c r="BD206" s="2" t="s">
        <v>133</v>
      </c>
      <c r="BE206" s="2" t="n">
        <v>3000</v>
      </c>
      <c r="BF206" s="2" t="s">
        <v>134</v>
      </c>
      <c r="BG206" s="2" t="n">
        <v>120</v>
      </c>
    </row>
    <row r="207" customFormat="false" ht="15" hidden="false" customHeight="false" outlineLevel="0" collapsed="false">
      <c r="A207" s="2" t="s">
        <v>340</v>
      </c>
      <c r="B207" s="2" t="s">
        <v>128</v>
      </c>
      <c r="C207" s="2" t="s">
        <v>129</v>
      </c>
      <c r="D207" s="2" t="s">
        <v>285</v>
      </c>
      <c r="E207" s="2" t="n">
        <v>0</v>
      </c>
      <c r="F207" s="2" t="n">
        <v>849.0316169448743</v>
      </c>
      <c r="G207" s="2" t="n">
        <v>306.3072413396251</v>
      </c>
      <c r="H207" s="2" t="n">
        <v>296.7120410053293</v>
      </c>
      <c r="I207" s="2" t="n">
        <v>4.381966459521962</v>
      </c>
      <c r="J207" s="2" t="n">
        <v>0.0020932231152168725</v>
      </c>
      <c r="K207" s="2" t="n">
        <v>0.00017443525960140604</v>
      </c>
      <c r="L207" s="2" t="n">
        <v>34.74491404411993</v>
      </c>
      <c r="M207" s="2" t="n">
        <v>0.8044373437494027</v>
      </c>
      <c r="N207" s="2" t="n">
        <v>1.5389022466247435</v>
      </c>
      <c r="O207" s="2" t="n">
        <v>5.198875</v>
      </c>
      <c r="P207" s="2" t="n">
        <v>4.1821691954851765</v>
      </c>
      <c r="Q207" s="2" t="n">
        <v>28.056939</v>
      </c>
      <c r="R207" s="2" t="n">
        <v>18.156190654315868</v>
      </c>
      <c r="S207" s="2" t="n">
        <v>57.30756614610397</v>
      </c>
      <c r="T207" s="2" t="n">
        <v>71.2393160155881</v>
      </c>
      <c r="U207" s="2" t="n">
        <v>0.0005640159674451054</v>
      </c>
      <c r="V207" s="2" t="n">
        <v>6.9832930304761796</v>
      </c>
      <c r="W207" s="2" t="n">
        <v>1.4661575117076852e-05</v>
      </c>
      <c r="X207" s="2" t="n">
        <v>550.9425594568474</v>
      </c>
      <c r="Y207" s="2" t="n">
        <v>282.12517026839697</v>
      </c>
      <c r="Z207" s="2" t="n">
        <v>22.351472546183455</v>
      </c>
      <c r="AA207" s="2" t="n">
        <v>335.83459727204155</v>
      </c>
      <c r="AB207" s="2" t="n">
        <v>29.52735593241647</v>
      </c>
      <c r="AC207" s="2" t="n">
        <v>258.3546977902954</v>
      </c>
      <c r="AD207" s="2" t="n">
        <v>0.5763132137705974</v>
      </c>
      <c r="AE207" s="2" t="n">
        <v>323.7527498629098</v>
      </c>
      <c r="AF207" s="2" t="n">
        <v>336.7520873043434</v>
      </c>
      <c r="AG207" s="2" t="n">
        <v>309.57549204582034</v>
      </c>
      <c r="AH207" s="2" t="n">
        <v>27.176595258523037</v>
      </c>
      <c r="AI207" s="2" t="n">
        <v>8.267616065446939</v>
      </c>
      <c r="AJ207" s="2" t="n">
        <v>335.15675215138106</v>
      </c>
      <c r="AK207" s="2" t="n">
        <v>336.18694337228413</v>
      </c>
      <c r="AL207" s="2" t="n">
        <v>336.67567715431926</v>
      </c>
      <c r="AM207" s="2" t="n">
        <v>11029306245.9137</v>
      </c>
      <c r="AN207" s="2" t="n">
        <v>10986360952.981646</v>
      </c>
      <c r="AO207" s="2" t="n">
        <v>324.0686716283516</v>
      </c>
      <c r="AP207" s="2" t="n">
        <v>290.8976713932155</v>
      </c>
      <c r="AQ207" s="2" t="n">
        <v>3.9786326437940245</v>
      </c>
      <c r="AR207" s="2" t="n">
        <v>24.67432199171259</v>
      </c>
      <c r="AS207" s="2" t="n">
        <v>3.890073043306564</v>
      </c>
      <c r="AT207" s="2" t="n">
        <v>2.2793196741668162</v>
      </c>
      <c r="AU207" s="2" t="n">
        <v>296.11789951867013</v>
      </c>
      <c r="AV207" s="2" t="n">
        <v>8.78006289894984e-11</v>
      </c>
      <c r="AW207" s="2" t="n">
        <v>-1.760259446884702e-05</v>
      </c>
      <c r="AX207" s="2" t="n">
        <v>168</v>
      </c>
      <c r="AY207" s="2" t="n">
        <v>9.69565689956653e-07</v>
      </c>
      <c r="AZ207" s="2" t="s">
        <v>131</v>
      </c>
      <c r="BA207" s="2" t="n">
        <v>4.48</v>
      </c>
      <c r="BB207" s="2" t="s">
        <v>132</v>
      </c>
      <c r="BC207" s="2" t="n">
        <v>4</v>
      </c>
      <c r="BD207" s="2" t="s">
        <v>133</v>
      </c>
      <c r="BE207" s="2" t="n">
        <v>3000</v>
      </c>
      <c r="BF207" s="2" t="s">
        <v>134</v>
      </c>
      <c r="BG207" s="2" t="n">
        <v>120</v>
      </c>
    </row>
    <row r="208" customFormat="false" ht="15" hidden="false" customHeight="false" outlineLevel="0" collapsed="false">
      <c r="A208" s="2" t="s">
        <v>341</v>
      </c>
      <c r="B208" s="2" t="s">
        <v>128</v>
      </c>
      <c r="C208" s="2" t="s">
        <v>129</v>
      </c>
      <c r="D208" s="2" t="s">
        <v>285</v>
      </c>
      <c r="E208" s="2" t="n">
        <v>0</v>
      </c>
      <c r="F208" s="2" t="n">
        <v>985.4120554402151</v>
      </c>
      <c r="G208" s="2" t="n">
        <v>311.6481912436658</v>
      </c>
      <c r="H208" s="2" t="n">
        <v>291.6735362494474</v>
      </c>
      <c r="I208" s="2" t="n">
        <v>4.030944518965462</v>
      </c>
      <c r="J208" s="2" t="n">
        <v>0.0020233156310307324</v>
      </c>
      <c r="K208" s="2" t="n">
        <v>0.0001686096359192277</v>
      </c>
      <c r="L208" s="2" t="n">
        <v>29.380230195502392</v>
      </c>
      <c r="M208" s="2" t="n">
        <v>0.6697996694230057</v>
      </c>
      <c r="N208" s="2" t="n">
        <v>1.7687145819975836</v>
      </c>
      <c r="O208" s="2" t="n">
        <v>5.198875</v>
      </c>
      <c r="P208" s="2" t="n">
        <v>3.4822047563715293</v>
      </c>
      <c r="Q208" s="2" t="n">
        <v>28.056939</v>
      </c>
      <c r="R208" s="2" t="n">
        <v>12.587229354967342</v>
      </c>
      <c r="S208" s="2" t="n">
        <v>63.02407417301348</v>
      </c>
      <c r="T208" s="2" t="n">
        <v>94.09391650985008</v>
      </c>
      <c r="U208" s="2" t="n">
        <v>0.0004957297737662099</v>
      </c>
      <c r="V208" s="2" t="n">
        <v>7.92662072412068</v>
      </c>
      <c r="W208" s="2" t="n">
        <v>1.6086314556033617e-05</v>
      </c>
      <c r="X208" s="2" t="n">
        <v>639.4407806595435</v>
      </c>
      <c r="Y208" s="2" t="n">
        <v>274.96955974460997</v>
      </c>
      <c r="Z208" s="2" t="n">
        <v>21.017589172068753</v>
      </c>
      <c r="AA208" s="2" t="n">
        <v>345.9590159076458</v>
      </c>
      <c r="AB208" s="2" t="n">
        <v>34.310824663979986</v>
      </c>
      <c r="AC208" s="2" t="n">
        <v>290.1824044388554</v>
      </c>
      <c r="AD208" s="2" t="n">
        <v>0.5577239330092052</v>
      </c>
      <c r="AE208" s="2" t="n">
        <v>331.85849440665</v>
      </c>
      <c r="AF208" s="2" t="n">
        <v>346.96280065333286</v>
      </c>
      <c r="AG208" s="2" t="n">
        <v>315.34475098947377</v>
      </c>
      <c r="AH208" s="2" t="n">
        <v>31.618049663859097</v>
      </c>
      <c r="AI208" s="2" t="n">
        <v>9.62256717455458</v>
      </c>
      <c r="AJ208" s="2" t="n">
        <v>345.1268638538745</v>
      </c>
      <c r="AK208" s="2" t="n">
        <v>346.3126191494358</v>
      </c>
      <c r="AL208" s="2" t="n">
        <v>346.8740423739995</v>
      </c>
      <c r="AM208" s="2" t="n">
        <v>12189746911.123049</v>
      </c>
      <c r="AN208" s="2" t="n">
        <v>12128630183.850876</v>
      </c>
      <c r="AO208" s="2" t="n">
        <v>332.27576929946446</v>
      </c>
      <c r="AP208" s="2" t="n">
        <v>337.624732188239</v>
      </c>
      <c r="AQ208" s="2" t="n">
        <v>5.884600494917463</v>
      </c>
      <c r="AR208" s="2" t="n">
        <v>35.77677894168256</v>
      </c>
      <c r="AS208" s="2" t="n">
        <v>5.781003127435101</v>
      </c>
      <c r="AT208" s="2" t="n">
        <v>2.235983253067962</v>
      </c>
      <c r="AU208" s="2" t="n">
        <v>291.78906789173215</v>
      </c>
      <c r="AV208" s="2" t="n">
        <v>9.170577186523587e-11</v>
      </c>
      <c r="AW208" s="2" t="n">
        <v>-1.535773242850476e-05</v>
      </c>
      <c r="AX208" s="2" t="n">
        <v>173</v>
      </c>
      <c r="AY208" s="2" t="n">
        <v>9.663326636655256e-07</v>
      </c>
      <c r="AZ208" s="2" t="s">
        <v>131</v>
      </c>
      <c r="BA208" s="2" t="n">
        <v>4.48</v>
      </c>
      <c r="BB208" s="2" t="s">
        <v>132</v>
      </c>
      <c r="BC208" s="2" t="n">
        <v>4</v>
      </c>
      <c r="BD208" s="2" t="s">
        <v>133</v>
      </c>
      <c r="BE208" s="2" t="n">
        <v>3000</v>
      </c>
      <c r="BF208" s="2" t="s">
        <v>134</v>
      </c>
      <c r="BG208" s="2" t="n">
        <v>120</v>
      </c>
    </row>
    <row r="209" customFormat="false" ht="15" hidden="false" customHeight="false" outlineLevel="0" collapsed="false">
      <c r="A209" s="2" t="s">
        <v>342</v>
      </c>
      <c r="B209" s="2" t="s">
        <v>128</v>
      </c>
      <c r="C209" s="2" t="s">
        <v>129</v>
      </c>
      <c r="D209" s="2" t="s">
        <v>285</v>
      </c>
      <c r="E209" s="2" t="n">
        <v>0</v>
      </c>
      <c r="F209" s="2" t="n">
        <v>498.5441645033722</v>
      </c>
      <c r="G209" s="2" t="n">
        <v>302.9148890706814</v>
      </c>
      <c r="H209" s="2" t="n">
        <v>286.88420254366304</v>
      </c>
      <c r="I209" s="2" t="n">
        <v>4.848086826932395</v>
      </c>
      <c r="J209" s="2" t="n">
        <v>0.002750560023139945</v>
      </c>
      <c r="K209" s="2" t="n">
        <v>0.00022921333526166208</v>
      </c>
      <c r="L209" s="2" t="n">
        <v>25.265965454043382</v>
      </c>
      <c r="M209" s="2" t="n">
        <v>0.36874343464132736</v>
      </c>
      <c r="N209" s="2" t="n">
        <v>1.8718770604771104</v>
      </c>
      <c r="O209" s="2" t="n">
        <v>5.198875</v>
      </c>
      <c r="P209" s="2" t="n">
        <v>1.9170510237709313</v>
      </c>
      <c r="Q209" s="2" t="n">
        <v>28.056939</v>
      </c>
      <c r="R209" s="2" t="n">
        <v>3.8149502703490565</v>
      </c>
      <c r="S209" s="2" t="n">
        <v>60.25578670236634</v>
      </c>
      <c r="T209" s="2" t="n">
        <v>163.40843264362516</v>
      </c>
      <c r="U209" s="2" t="n">
        <v>0.0007048719155682605</v>
      </c>
      <c r="V209" s="2" t="n">
        <v>51.37703554750689</v>
      </c>
      <c r="W209" s="2" t="n">
        <v>0.00014174084261224905</v>
      </c>
      <c r="X209" s="2" t="n">
        <v>323.5087981553897</v>
      </c>
      <c r="Y209" s="2" t="n">
        <v>268.22486108735967</v>
      </c>
      <c r="Z209" s="2" t="n">
        <v>24.1227299423431</v>
      </c>
      <c r="AA209" s="2" t="n">
        <v>315.2950629476445</v>
      </c>
      <c r="AB209" s="2" t="n">
        <v>12.380173876963113</v>
      </c>
      <c r="AC209" s="2" t="n">
        <v>142.33907942417414</v>
      </c>
      <c r="AD209" s="2" t="n">
        <v>0.5407376297084069</v>
      </c>
      <c r="AE209" s="2" t="n">
        <v>310.3780043690176</v>
      </c>
      <c r="AF209" s="2" t="n">
        <v>315.91310461637323</v>
      </c>
      <c r="AG209" s="2" t="n">
        <v>304.45613728430567</v>
      </c>
      <c r="AH209" s="2" t="n">
        <v>11.456967332067563</v>
      </c>
      <c r="AI209" s="2" t="n">
        <v>3.4848835665011273</v>
      </c>
      <c r="AJ209" s="2" t="n">
        <v>315.22108147443527</v>
      </c>
      <c r="AK209" s="2" t="n">
        <v>315.64301260625564</v>
      </c>
      <c r="AL209" s="2" t="n">
        <v>315.87596893028496</v>
      </c>
      <c r="AM209" s="2" t="n">
        <v>9287353591.648005</v>
      </c>
      <c r="AN209" s="2" t="n">
        <v>9280336968.44385</v>
      </c>
      <c r="AO209" s="2" t="n">
        <v>310.43665494169244</v>
      </c>
      <c r="AP209" s="2" t="n">
        <v>170.81264542604575</v>
      </c>
      <c r="AQ209" s="2" t="n">
        <v>3.1189376994845888</v>
      </c>
      <c r="AR209" s="2" t="n">
        <v>21.974860054716686</v>
      </c>
      <c r="AS209" s="2" t="n">
        <v>3.3798154348301193</v>
      </c>
      <c r="AT209" s="2" t="n">
        <v>2.295380234231806</v>
      </c>
      <c r="AU209" s="2" t="n">
        <v>285.76650869543136</v>
      </c>
      <c r="AV209" s="2" t="n">
        <v>8.714977184354208e-11</v>
      </c>
      <c r="AW209" s="2" t="n">
        <v>-2.7799225536002545e-05</v>
      </c>
      <c r="AX209" s="2" t="n">
        <v>134</v>
      </c>
      <c r="AY209" s="2" t="n">
        <v>9.373320608574431e-07</v>
      </c>
      <c r="AZ209" s="2" t="s">
        <v>131</v>
      </c>
      <c r="BA209" s="2" t="n">
        <v>4.48</v>
      </c>
      <c r="BB209" s="2" t="s">
        <v>132</v>
      </c>
      <c r="BC209" s="2" t="n">
        <v>4</v>
      </c>
      <c r="BD209" s="2" t="s">
        <v>133</v>
      </c>
      <c r="BE209" s="2" t="n">
        <v>3000</v>
      </c>
      <c r="BF209" s="2" t="s">
        <v>134</v>
      </c>
      <c r="BG209" s="2" t="n">
        <v>120</v>
      </c>
    </row>
    <row r="210" customFormat="false" ht="15" hidden="false" customHeight="false" outlineLevel="0" collapsed="false">
      <c r="A210" s="2" t="s">
        <v>343</v>
      </c>
      <c r="B210" s="2" t="s">
        <v>128</v>
      </c>
      <c r="C210" s="2" t="s">
        <v>129</v>
      </c>
      <c r="D210" s="2" t="s">
        <v>285</v>
      </c>
      <c r="E210" s="2" t="n">
        <v>0</v>
      </c>
      <c r="F210" s="2" t="n">
        <v>633.3254159472383</v>
      </c>
      <c r="G210" s="2" t="n">
        <v>309.7008713570577</v>
      </c>
      <c r="H210" s="2" t="n">
        <v>293.6333232167413</v>
      </c>
      <c r="I210" s="2" t="n">
        <v>4.692361696259868</v>
      </c>
      <c r="J210" s="2" t="n">
        <v>0.0030819250482765443</v>
      </c>
      <c r="K210" s="2" t="n">
        <v>0.0002568270873563787</v>
      </c>
      <c r="L210" s="2" t="n">
        <v>32.61491306637416</v>
      </c>
      <c r="M210" s="2" t="n">
        <v>0.4022292711423572</v>
      </c>
      <c r="N210" s="2" t="n">
        <v>1.5492623498280758</v>
      </c>
      <c r="O210" s="2" t="n">
        <v>5.198875</v>
      </c>
      <c r="P210" s="2" t="n">
        <v>2.091139702010222</v>
      </c>
      <c r="Q210" s="2" t="n">
        <v>28.056939</v>
      </c>
      <c r="R210" s="2" t="n">
        <v>4.5392868927264844</v>
      </c>
      <c r="S210" s="2" t="n">
        <v>78.4160108982127</v>
      </c>
      <c r="T210" s="2" t="n">
        <v>194.95351662375577</v>
      </c>
      <c r="U210" s="2" t="n">
        <v>0.0006068832744179407</v>
      </c>
      <c r="V210" s="2" t="n">
        <v>46.12460745981687</v>
      </c>
      <c r="W210" s="2" t="n">
        <v>0.00014258032404446618</v>
      </c>
      <c r="X210" s="2" t="n">
        <v>410.9692956860745</v>
      </c>
      <c r="Y210" s="2" t="n">
        <v>277.74553639141874</v>
      </c>
      <c r="Z210" s="2" t="n">
        <v>23.5309744457875</v>
      </c>
      <c r="AA210" s="2" t="n">
        <v>324.2088179029223</v>
      </c>
      <c r="AB210" s="2" t="n">
        <v>14.507946545864627</v>
      </c>
      <c r="AC210" s="2" t="n">
        <v>186.89784812960573</v>
      </c>
      <c r="AD210" s="2" t="n">
        <v>0.558912035269798</v>
      </c>
      <c r="AE210" s="2" t="n">
        <v>318.54679727953885</v>
      </c>
      <c r="AF210" s="2" t="n">
        <v>325.04212243237214</v>
      </c>
      <c r="AG210" s="2" t="n">
        <v>311.6095872855146</v>
      </c>
      <c r="AH210" s="2" t="n">
        <v>13.43253514685756</v>
      </c>
      <c r="AI210" s="2" t="n">
        <v>4.071470389647416</v>
      </c>
      <c r="AJ210" s="2" t="n">
        <v>324.2085675076346</v>
      </c>
      <c r="AK210" s="2" t="n">
        <v>324.71043015331475</v>
      </c>
      <c r="AL210" s="2" t="n">
        <v>324.98885279656133</v>
      </c>
      <c r="AM210" s="2" t="n">
        <v>10306667589.653284</v>
      </c>
      <c r="AN210" s="2" t="n">
        <v>10296579378.110134</v>
      </c>
      <c r="AO210" s="2" t="n">
        <v>318.6247937512995</v>
      </c>
      <c r="AP210" s="2" t="n">
        <v>216.99178812224733</v>
      </c>
      <c r="AQ210" s="2" t="n">
        <v>3.5216323881108043</v>
      </c>
      <c r="AR210" s="2" t="n">
        <v>22.988296483256846</v>
      </c>
      <c r="AS210" s="2" t="n">
        <v>3.5840493079247517</v>
      </c>
      <c r="AT210" s="2" t="n">
        <v>2.287761968774257</v>
      </c>
      <c r="AU210" s="2" t="n">
        <v>292.80026883603455</v>
      </c>
      <c r="AV210" s="2" t="n">
        <v>7.933948609206706e-11</v>
      </c>
      <c r="AW210" s="2" t="n">
        <v>-2.079300958865088e-05</v>
      </c>
      <c r="AX210" s="2" t="n">
        <v>123</v>
      </c>
      <c r="AY210" s="2" t="n">
        <v>8.797956070338842e-07</v>
      </c>
      <c r="AZ210" s="2" t="s">
        <v>131</v>
      </c>
      <c r="BA210" s="2" t="n">
        <v>4.48</v>
      </c>
      <c r="BB210" s="2" t="s">
        <v>132</v>
      </c>
      <c r="BC210" s="2" t="n">
        <v>4</v>
      </c>
      <c r="BD210" s="2" t="s">
        <v>133</v>
      </c>
      <c r="BE210" s="2" t="n">
        <v>3000</v>
      </c>
      <c r="BF210" s="2" t="s">
        <v>134</v>
      </c>
      <c r="BG210" s="2" t="n">
        <v>120</v>
      </c>
    </row>
    <row r="211" customFormat="false" ht="15" hidden="false" customHeight="false" outlineLevel="0" collapsed="false">
      <c r="A211" s="2" t="s">
        <v>344</v>
      </c>
      <c r="B211" s="2" t="s">
        <v>128</v>
      </c>
      <c r="C211" s="2" t="s">
        <v>129</v>
      </c>
      <c r="D211" s="2" t="s">
        <v>285</v>
      </c>
      <c r="E211" s="2" t="n">
        <v>0</v>
      </c>
      <c r="F211" s="2" t="n">
        <v>775.6712950828678</v>
      </c>
      <c r="G211" s="2" t="n">
        <v>325.92764931204005</v>
      </c>
      <c r="H211" s="2" t="n">
        <v>302.02246752963833</v>
      </c>
      <c r="I211" s="2" t="n">
        <v>3.213236161196484</v>
      </c>
      <c r="J211" s="2" t="n">
        <v>0.004251872695119284</v>
      </c>
      <c r="K211" s="2" t="n">
        <v>0.00035432272459327363</v>
      </c>
      <c r="L211" s="2" t="n">
        <v>29.115092025343156</v>
      </c>
      <c r="M211" s="2" t="n">
        <v>0.9187707174299194</v>
      </c>
      <c r="N211" s="2" t="n">
        <v>0.7256619889046358</v>
      </c>
      <c r="O211" s="2" t="n">
        <v>5.198875</v>
      </c>
      <c r="P211" s="2" t="n">
        <v>4.776574113578473</v>
      </c>
      <c r="Q211" s="2" t="n">
        <v>28.056939</v>
      </c>
      <c r="R211" s="2" t="n">
        <v>23.683974140248566</v>
      </c>
      <c r="S211" s="2" t="n">
        <v>139.99974775388523</v>
      </c>
      <c r="T211" s="2" t="n">
        <v>152.37724178400788</v>
      </c>
      <c r="U211" s="2" t="n">
        <v>0.00046896544248494447</v>
      </c>
      <c r="V211" s="2" t="n">
        <v>9.996527391011275</v>
      </c>
      <c r="W211" s="2" t="n">
        <v>4.2631857432149294e-05</v>
      </c>
      <c r="X211" s="2" t="n">
        <v>503.3385330783385</v>
      </c>
      <c r="Y211" s="2" t="n">
        <v>289.7329944001359</v>
      </c>
      <c r="Z211" s="2" t="n">
        <v>17.910297412546637</v>
      </c>
      <c r="AA211" s="2" t="n">
        <v>338.7361972576745</v>
      </c>
      <c r="AB211" s="2" t="n">
        <v>12.808547945634473</v>
      </c>
      <c r="AC211" s="2" t="n">
        <v>227.64411784602808</v>
      </c>
      <c r="AD211" s="2" t="n">
        <v>0.5558335925543225</v>
      </c>
      <c r="AE211" s="2" t="n">
        <v>334.0329954088477</v>
      </c>
      <c r="AF211" s="2" t="n">
        <v>339.8504973985436</v>
      </c>
      <c r="AG211" s="2" t="n">
        <v>327.91066117050303</v>
      </c>
      <c r="AH211" s="2" t="n">
        <v>11.939836228040576</v>
      </c>
      <c r="AI211" s="2" t="n">
        <v>3.6075868122196373</v>
      </c>
      <c r="AJ211" s="2" t="n">
        <v>339.025254312839</v>
      </c>
      <c r="AK211" s="2" t="n">
        <v>339.5526850904503</v>
      </c>
      <c r="AL211" s="2" t="n">
        <v>339.8056166691692</v>
      </c>
      <c r="AM211" s="2" t="n">
        <v>12458369697.213766</v>
      </c>
      <c r="AN211" s="2" t="n">
        <v>12449659461.420187</v>
      </c>
      <c r="AO211" s="2" t="n">
        <v>334.0914055028049</v>
      </c>
      <c r="AP211" s="2" t="n">
        <v>265.76274546536274</v>
      </c>
      <c r="AQ211" s="2" t="n">
        <v>4.928856793505938</v>
      </c>
      <c r="AR211" s="2" t="n">
        <v>28.584799199204802</v>
      </c>
      <c r="AS211" s="2" t="n">
        <v>4.605030595195223</v>
      </c>
      <c r="AT211" s="2" t="n">
        <v>2.2553320821070857</v>
      </c>
      <c r="AU211" s="2" t="n">
        <v>302.0184724462516</v>
      </c>
      <c r="AV211" s="2" t="n">
        <v>8.988337185655835e-11</v>
      </c>
      <c r="AW211" s="2" t="n">
        <v>-1.9417802667671733e-05</v>
      </c>
      <c r="AX211" s="2" t="n">
        <v>100</v>
      </c>
      <c r="AY211" s="2" t="n">
        <v>9.630241493141511e-07</v>
      </c>
      <c r="AZ211" s="2" t="s">
        <v>131</v>
      </c>
      <c r="BA211" s="2" t="n">
        <v>4.48</v>
      </c>
      <c r="BB211" s="2" t="s">
        <v>132</v>
      </c>
      <c r="BC211" s="2" t="n">
        <v>4</v>
      </c>
      <c r="BD211" s="2" t="s">
        <v>133</v>
      </c>
      <c r="BE211" s="2" t="n">
        <v>3000</v>
      </c>
      <c r="BF211" s="2" t="s">
        <v>134</v>
      </c>
      <c r="BG211" s="2" t="n">
        <v>120</v>
      </c>
    </row>
    <row r="212" customFormat="false" ht="15" hidden="false" customHeight="false" outlineLevel="0" collapsed="false">
      <c r="A212" s="2" t="s">
        <v>345</v>
      </c>
      <c r="B212" s="2" t="s">
        <v>128</v>
      </c>
      <c r="C212" s="2" t="s">
        <v>129</v>
      </c>
      <c r="D212" s="2" t="s">
        <v>285</v>
      </c>
      <c r="E212" s="2" t="n">
        <v>0</v>
      </c>
      <c r="F212" s="2" t="n">
        <v>896.9246727748694</v>
      </c>
      <c r="G212" s="2" t="n">
        <v>288.7218265728315</v>
      </c>
      <c r="H212" s="2" t="n">
        <v>309.0321513738707</v>
      </c>
      <c r="I212" s="2" t="n">
        <v>0.8417747591941344</v>
      </c>
      <c r="J212" s="2" t="n">
        <v>0.002305335259602569</v>
      </c>
      <c r="K212" s="2" t="n">
        <v>0.0001921112716335474</v>
      </c>
      <c r="L212" s="2" t="n">
        <v>31.322497819028527</v>
      </c>
      <c r="M212" s="2" t="n">
        <v>0.9071850603213625</v>
      </c>
      <c r="N212" s="2" t="n">
        <v>1.5757798322783383</v>
      </c>
      <c r="O212" s="2" t="n">
        <v>5.198875</v>
      </c>
      <c r="P212" s="2" t="n">
        <v>4.716341730478224</v>
      </c>
      <c r="Q212" s="2" t="n">
        <v>28.056939</v>
      </c>
      <c r="R212" s="2" t="n">
        <v>23.090432470518124</v>
      </c>
      <c r="S212" s="2" t="n">
        <v>46.02219374571393</v>
      </c>
      <c r="T212" s="2" t="n">
        <v>50.73076680673177</v>
      </c>
      <c r="U212" s="2" t="n">
        <v>0.0007734898478711874</v>
      </c>
      <c r="V212" s="2" t="n">
        <v>8.566448754959719</v>
      </c>
      <c r="W212" s="2" t="n">
        <v>1.9807960245122534e-05</v>
      </c>
      <c r="X212" s="2" t="n">
        <v>582.0206986363221</v>
      </c>
      <c r="Y212" s="2" t="n">
        <v>299.87797927259834</v>
      </c>
      <c r="Z212" s="2" t="n">
        <v>8.89874408493771</v>
      </c>
      <c r="AA212" s="2" t="n">
        <v>320.4308267444302</v>
      </c>
      <c r="AB212" s="2" t="n">
        <v>31.70900017159869</v>
      </c>
      <c r="AC212" s="2" t="n">
        <v>305.557482274941</v>
      </c>
      <c r="AD212" s="2" t="n">
        <v>0.6452128817050682</v>
      </c>
      <c r="AE212" s="2" t="n">
        <v>307.6171548449901</v>
      </c>
      <c r="AF212" s="2" t="n">
        <v>321.63878913007113</v>
      </c>
      <c r="AG212" s="2" t="n">
        <v>292.4741052575892</v>
      </c>
      <c r="AH212" s="2" t="n">
        <v>29.16468387248193</v>
      </c>
      <c r="AI212" s="2" t="n">
        <v>8.873037540695433</v>
      </c>
      <c r="AJ212" s="2" t="n">
        <v>319.90180352798905</v>
      </c>
      <c r="AK212" s="2" t="n">
        <v>321.00857182257045</v>
      </c>
      <c r="AL212" s="2" t="n">
        <v>321.5614847571555</v>
      </c>
      <c r="AM212" s="2" t="n">
        <v>8999179265.4517</v>
      </c>
      <c r="AN212" s="2" t="n">
        <v>8954517801.952162</v>
      </c>
      <c r="AO212" s="2" t="n">
        <v>308.0000065836875</v>
      </c>
      <c r="AP212" s="2" t="n">
        <v>307.3069288799781</v>
      </c>
      <c r="AQ212" s="2" t="n">
        <v>0.30600274172810316</v>
      </c>
      <c r="AR212" s="2" t="n">
        <v>1.6470528185301412</v>
      </c>
      <c r="AS212" s="2" t="n">
        <v>-0.20356122623714476</v>
      </c>
      <c r="AT212" s="2" t="n">
        <v>-2.341592912241675</v>
      </c>
      <c r="AU212" s="2" t="n">
        <v>305.77248174052033</v>
      </c>
      <c r="AV212" s="2" t="n">
        <v>9.788891475182028e-11</v>
      </c>
      <c r="AW212" s="2" t="n">
        <v>-1.5801938948602422e-05</v>
      </c>
      <c r="AX212" s="2" t="n">
        <v>149</v>
      </c>
      <c r="AY212" s="2" t="n">
        <v>9.496116035734303e-07</v>
      </c>
      <c r="AZ212" s="2" t="s">
        <v>131</v>
      </c>
      <c r="BA212" s="2" t="n">
        <v>4.48</v>
      </c>
      <c r="BB212" s="2" t="s">
        <v>132</v>
      </c>
      <c r="BC212" s="2" t="n">
        <v>4</v>
      </c>
      <c r="BD212" s="2" t="s">
        <v>133</v>
      </c>
      <c r="BE212" s="2" t="n">
        <v>3000</v>
      </c>
      <c r="BF212" s="2" t="s">
        <v>134</v>
      </c>
      <c r="BG212" s="2" t="n">
        <v>120</v>
      </c>
    </row>
    <row r="213" customFormat="false" ht="15" hidden="false" customHeight="false" outlineLevel="0" collapsed="false">
      <c r="A213" s="2" t="s">
        <v>346</v>
      </c>
      <c r="B213" s="2" t="s">
        <v>128</v>
      </c>
      <c r="C213" s="2" t="s">
        <v>129</v>
      </c>
      <c r="D213" s="2" t="s">
        <v>285</v>
      </c>
      <c r="E213" s="2" t="n">
        <v>0</v>
      </c>
      <c r="F213" s="2" t="n">
        <v>458.32416957821846</v>
      </c>
      <c r="G213" s="2" t="n">
        <v>329.043545766585</v>
      </c>
      <c r="H213" s="2" t="n">
        <v>300.358446700877</v>
      </c>
      <c r="I213" s="2" t="n">
        <v>2.650229725904891</v>
      </c>
      <c r="J213" s="2" t="n">
        <v>0.001844656080857035</v>
      </c>
      <c r="K213" s="2" t="n">
        <v>0.00015372134007141957</v>
      </c>
      <c r="L213" s="2" t="n">
        <v>24.740659506760736</v>
      </c>
      <c r="M213" s="2" t="n">
        <v>0.954943896646243</v>
      </c>
      <c r="N213" s="2" t="n">
        <v>0.977437593547267</v>
      </c>
      <c r="O213" s="2" t="n">
        <v>5.198875</v>
      </c>
      <c r="P213" s="2" t="n">
        <v>4.964633950676737</v>
      </c>
      <c r="Q213" s="2" t="n">
        <v>28.056939</v>
      </c>
      <c r="R213" s="2" t="n">
        <v>25.5856233709922</v>
      </c>
      <c r="S213" s="2" t="n">
        <v>64.55615534507535</v>
      </c>
      <c r="T213" s="2" t="n">
        <v>67.60203983898546</v>
      </c>
      <c r="U213" s="2" t="n">
        <v>0.00044123056709248574</v>
      </c>
      <c r="V213" s="2" t="n">
        <v>3.6771748691537547</v>
      </c>
      <c r="W213" s="2" t="n">
        <v>6.803533583509674e-06</v>
      </c>
      <c r="X213" s="2" t="n">
        <v>297.40976190849295</v>
      </c>
      <c r="Y213" s="2" t="n">
        <v>287.3418293153651</v>
      </c>
      <c r="Z213" s="2" t="n">
        <v>15.770872958438584</v>
      </c>
      <c r="AA213" s="2" t="n">
        <v>343.6930937258063</v>
      </c>
      <c r="AB213" s="2" t="n">
        <v>14.649547959221309</v>
      </c>
      <c r="AC213" s="2" t="n">
        <v>112.95771888959861</v>
      </c>
      <c r="AD213" s="2" t="n">
        <v>0.4667767659982249</v>
      </c>
      <c r="AE213" s="2" t="n">
        <v>337.62344276606376</v>
      </c>
      <c r="AF213" s="2" t="n">
        <v>344.0471342390273</v>
      </c>
      <c r="AG213" s="2" t="n">
        <v>330.5452839323643</v>
      </c>
      <c r="AH213" s="2" t="n">
        <v>13.50185030666296</v>
      </c>
      <c r="AI213" s="2" t="n">
        <v>4.108784508358389</v>
      </c>
      <c r="AJ213" s="2" t="n">
        <v>343.2726992515864</v>
      </c>
      <c r="AK213" s="2" t="n">
        <v>343.77324357002584</v>
      </c>
      <c r="AL213" s="2" t="n">
        <v>344.01166891784493</v>
      </c>
      <c r="AM213" s="2" t="n">
        <v>13005165281.108873</v>
      </c>
      <c r="AN213" s="2" t="n">
        <v>12993626424.374504</v>
      </c>
      <c r="AO213" s="2" t="n">
        <v>337.6983735768522</v>
      </c>
      <c r="AP213" s="2" t="n">
        <v>157.03235428768429</v>
      </c>
      <c r="AQ213" s="2" t="n">
        <v>5.751254781609082</v>
      </c>
      <c r="AR213" s="2" t="n">
        <v>32.96249265999132</v>
      </c>
      <c r="AS213" s="2" t="n">
        <v>5.360937740782239</v>
      </c>
      <c r="AT213" s="2" t="n">
        <v>2.240029439636324</v>
      </c>
      <c r="AU213" s="2" t="n">
        <v>300.7059723716225</v>
      </c>
      <c r="AV213" s="2" t="n">
        <v>9.463462902203902e-11</v>
      </c>
      <c r="AW213" s="2" t="n">
        <v>-3.257722250066474e-05</v>
      </c>
      <c r="AX213" s="2" t="n">
        <v>197</v>
      </c>
      <c r="AY213" s="2" t="n">
        <v>9.393884283781517e-07</v>
      </c>
      <c r="AZ213" s="2" t="s">
        <v>131</v>
      </c>
      <c r="BA213" s="2" t="n">
        <v>4.48</v>
      </c>
      <c r="BB213" s="2" t="s">
        <v>132</v>
      </c>
      <c r="BC213" s="2" t="n">
        <v>4</v>
      </c>
      <c r="BD213" s="2" t="s">
        <v>133</v>
      </c>
      <c r="BE213" s="2" t="n">
        <v>3000</v>
      </c>
      <c r="BF213" s="2" t="s">
        <v>134</v>
      </c>
      <c r="BG213" s="2" t="n">
        <v>120</v>
      </c>
    </row>
    <row r="214" customFormat="false" ht="15" hidden="false" customHeight="false" outlineLevel="0" collapsed="false">
      <c r="A214" s="2" t="s">
        <v>347</v>
      </c>
      <c r="B214" s="2" t="s">
        <v>128</v>
      </c>
      <c r="C214" s="2" t="s">
        <v>129</v>
      </c>
      <c r="D214" s="2" t="s">
        <v>285</v>
      </c>
      <c r="E214" s="2" t="n">
        <v>0</v>
      </c>
      <c r="F214" s="2" t="n">
        <v>678.7239024742914</v>
      </c>
      <c r="G214" s="2" t="n">
        <v>289.0412026610334</v>
      </c>
      <c r="H214" s="2" t="n">
        <v>308.43631030865515</v>
      </c>
      <c r="I214" s="2" t="n">
        <v>0.2993414894685484</v>
      </c>
      <c r="J214" s="2" t="n">
        <v>0.001591543010221549</v>
      </c>
      <c r="K214" s="2" t="n">
        <v>0.0001326285841851291</v>
      </c>
      <c r="L214" s="2" t="n">
        <v>33.78073126155855</v>
      </c>
      <c r="M214" s="2" t="n">
        <v>0.7534350112665574</v>
      </c>
      <c r="N214" s="2" t="n">
        <v>1.526605253659604</v>
      </c>
      <c r="O214" s="2" t="n">
        <v>5.198875</v>
      </c>
      <c r="P214" s="2" t="n">
        <v>3.917014444198424</v>
      </c>
      <c r="Q214" s="2" t="n">
        <v>28.056939</v>
      </c>
      <c r="R214" s="2" t="n">
        <v>15.926923092162884</v>
      </c>
      <c r="S214" s="2" t="n">
        <v>32.85137963540171</v>
      </c>
      <c r="T214" s="2" t="n">
        <v>43.60214105285219</v>
      </c>
      <c r="U214" s="2" t="n">
        <v>0.0007480878618181025</v>
      </c>
      <c r="V214" s="2" t="n">
        <v>7.937503840401229</v>
      </c>
      <c r="W214" s="2" t="n">
        <v>1.267089143008754e-05</v>
      </c>
      <c r="X214" s="2" t="n">
        <v>440.42869138288495</v>
      </c>
      <c r="Y214" s="2" t="n">
        <v>299.0111109291653</v>
      </c>
      <c r="Z214" s="2" t="n">
        <v>6.8374976599804835</v>
      </c>
      <c r="AA214" s="2" t="n">
        <v>323.3158386847485</v>
      </c>
      <c r="AB214" s="2" t="n">
        <v>34.27463602371506</v>
      </c>
      <c r="AC214" s="2" t="n">
        <v>228.01714989618333</v>
      </c>
      <c r="AD214" s="2" t="n">
        <v>0.6362685343890963</v>
      </c>
      <c r="AE214" s="2" t="n">
        <v>309.14764540576846</v>
      </c>
      <c r="AF214" s="2" t="n">
        <v>324.0005246881601</v>
      </c>
      <c r="AG214" s="2" t="n">
        <v>292.64621518552883</v>
      </c>
      <c r="AH214" s="2" t="n">
        <v>31.35430950263128</v>
      </c>
      <c r="AI214" s="2" t="n">
        <v>9.560669532760732</v>
      </c>
      <c r="AJ214" s="2" t="n">
        <v>322.2642983783471</v>
      </c>
      <c r="AK214" s="2" t="n">
        <v>323.3910869553479</v>
      </c>
      <c r="AL214" s="2" t="n">
        <v>323.92822121069946</v>
      </c>
      <c r="AM214" s="2" t="n">
        <v>9186399440.982912</v>
      </c>
      <c r="AN214" s="2" t="n">
        <v>9134058154.51691</v>
      </c>
      <c r="AO214" s="2" t="n">
        <v>309.5895773916943</v>
      </c>
      <c r="AP214" s="2" t="n">
        <v>232.54634905016326</v>
      </c>
      <c r="AQ214" s="2" t="n">
        <v>0.6452874509631037</v>
      </c>
      <c r="AR214" s="2" t="n">
        <v>3.781632213942307</v>
      </c>
      <c r="AS214" s="2" t="n">
        <v>0.10233257939399627</v>
      </c>
      <c r="AT214" s="2" t="n">
        <v>12.05905449559627</v>
      </c>
      <c r="AU214" s="2" t="n">
        <v>304.9122771421803</v>
      </c>
      <c r="AV214" s="2" t="n">
        <v>9.098982900468401e-11</v>
      </c>
      <c r="AW214" s="2" t="n">
        <v>-2.2596147271996744e-05</v>
      </c>
      <c r="AX214" s="2" t="n">
        <v>209</v>
      </c>
      <c r="AY214" s="2" t="n">
        <v>9.634858315621386e-07</v>
      </c>
      <c r="AZ214" s="2" t="s">
        <v>131</v>
      </c>
      <c r="BA214" s="2" t="n">
        <v>4.48</v>
      </c>
      <c r="BB214" s="2" t="s">
        <v>132</v>
      </c>
      <c r="BC214" s="2" t="n">
        <v>4</v>
      </c>
      <c r="BD214" s="2" t="s">
        <v>133</v>
      </c>
      <c r="BE214" s="2" t="n">
        <v>3000</v>
      </c>
      <c r="BF214" s="2" t="s">
        <v>134</v>
      </c>
      <c r="BG214" s="2" t="n">
        <v>120</v>
      </c>
    </row>
    <row r="215" customFormat="false" ht="15" hidden="false" customHeight="false" outlineLevel="0" collapsed="false">
      <c r="A215" s="2" t="s">
        <v>348</v>
      </c>
      <c r="B215" s="2" t="s">
        <v>128</v>
      </c>
      <c r="C215" s="2" t="s">
        <v>129</v>
      </c>
      <c r="D215" s="2" t="s">
        <v>285</v>
      </c>
      <c r="E215" s="2" t="n">
        <v>0</v>
      </c>
      <c r="F215" s="2" t="n">
        <v>972.4084396183811</v>
      </c>
      <c r="G215" s="2" t="n">
        <v>326.6163252559445</v>
      </c>
      <c r="H215" s="2" t="n">
        <v>290.98794372316127</v>
      </c>
      <c r="I215" s="2" t="n">
        <v>3.6955693561476988</v>
      </c>
      <c r="J215" s="2" t="n">
        <v>0.0037515244268707124</v>
      </c>
      <c r="K215" s="2" t="n">
        <v>0.0003126270355725594</v>
      </c>
      <c r="L215" s="2" t="n">
        <v>28.196372413349547</v>
      </c>
      <c r="M215" s="2" t="n">
        <v>0.8597666323960461</v>
      </c>
      <c r="N215" s="2" t="n">
        <v>1.6520891035954854</v>
      </c>
      <c r="O215" s="2" t="n">
        <v>5.198875</v>
      </c>
      <c r="P215" s="2" t="n">
        <v>4.469819250997995</v>
      </c>
      <c r="Q215" s="2" t="n">
        <v>28.056939</v>
      </c>
      <c r="R215" s="2" t="n">
        <v>20.73965177371182</v>
      </c>
      <c r="S215" s="2" t="n">
        <v>129.59696481482555</v>
      </c>
      <c r="T215" s="2" t="n">
        <v>150.7350482463566</v>
      </c>
      <c r="U215" s="2" t="n">
        <v>0.00044699306964969917</v>
      </c>
      <c r="V215" s="2" t="n">
        <v>8.749656972114565</v>
      </c>
      <c r="W215" s="2" t="n">
        <v>3.292332182309672e-05</v>
      </c>
      <c r="X215" s="2" t="n">
        <v>631.0026433274447</v>
      </c>
      <c r="Y215" s="2" t="n">
        <v>274.0006361262021</v>
      </c>
      <c r="Z215" s="2" t="n">
        <v>19.743163553361256</v>
      </c>
      <c r="AA215" s="2" t="n">
        <v>344.3727764873286</v>
      </c>
      <c r="AB215" s="2" t="n">
        <v>17.75645123138412</v>
      </c>
      <c r="AC215" s="2" t="n">
        <v>278.4455190115379</v>
      </c>
      <c r="AD215" s="2" t="n">
        <v>0.5423224604352597</v>
      </c>
      <c r="AE215" s="2" t="n">
        <v>337.6309866380425</v>
      </c>
      <c r="AF215" s="2" t="n">
        <v>345.6650078676554</v>
      </c>
      <c r="AG215" s="2" t="n">
        <v>329.1469863705996</v>
      </c>
      <c r="AH215" s="2" t="n">
        <v>16.51802149705577</v>
      </c>
      <c r="AI215" s="2" t="n">
        <v>4.999321597853546</v>
      </c>
      <c r="AJ215" s="2" t="n">
        <v>344.55681517459544</v>
      </c>
      <c r="AK215" s="2" t="n">
        <v>345.2458096111436</v>
      </c>
      <c r="AL215" s="2" t="n">
        <v>345.6036472692018</v>
      </c>
      <c r="AM215" s="2" t="n">
        <v>13011875589.293056</v>
      </c>
      <c r="AN215" s="2" t="n">
        <v>12994787783.77361</v>
      </c>
      <c r="AO215" s="2" t="n">
        <v>337.7419259228555</v>
      </c>
      <c r="AP215" s="2" t="n">
        <v>333.1693956768908</v>
      </c>
      <c r="AQ215" s="2" t="n">
        <v>6.889636550134238</v>
      </c>
      <c r="AR215" s="2" t="n">
        <v>41.12421927823859</v>
      </c>
      <c r="AS215" s="2" t="n">
        <v>6.710062404673414</v>
      </c>
      <c r="AT215" s="2" t="n">
        <v>2.2220614121323905</v>
      </c>
      <c r="AU215" s="2" t="n">
        <v>291.5725115294042</v>
      </c>
      <c r="AV215" s="2" t="n">
        <v>9.522040045339965e-11</v>
      </c>
      <c r="AW215" s="2" t="n">
        <v>-1.390658401637255e-05</v>
      </c>
      <c r="AX215" s="2" t="n">
        <v>108</v>
      </c>
      <c r="AY215" s="2" t="n">
        <v>8.759749903219927e-07</v>
      </c>
      <c r="AZ215" s="2" t="s">
        <v>131</v>
      </c>
      <c r="BA215" s="2" t="n">
        <v>4.48</v>
      </c>
      <c r="BB215" s="2" t="s">
        <v>132</v>
      </c>
      <c r="BC215" s="2" t="n">
        <v>4</v>
      </c>
      <c r="BD215" s="2" t="s">
        <v>133</v>
      </c>
      <c r="BE215" s="2" t="n">
        <v>3000</v>
      </c>
      <c r="BF215" s="2" t="s">
        <v>134</v>
      </c>
      <c r="BG215" s="2" t="n">
        <v>120</v>
      </c>
    </row>
    <row r="216" customFormat="false" ht="15" hidden="false" customHeight="false" outlineLevel="0" collapsed="false">
      <c r="A216" s="2" t="s">
        <v>349</v>
      </c>
      <c r="B216" s="2" t="s">
        <v>128</v>
      </c>
      <c r="C216" s="2" t="s">
        <v>129</v>
      </c>
      <c r="D216" s="2" t="s">
        <v>285</v>
      </c>
      <c r="E216" s="2" t="n">
        <v>0</v>
      </c>
      <c r="F216" s="2" t="n">
        <v>669.0608120745724</v>
      </c>
      <c r="G216" s="2" t="n">
        <v>307.4246590172195</v>
      </c>
      <c r="H216" s="2" t="n">
        <v>310.8266279883379</v>
      </c>
      <c r="I216" s="2" t="n">
        <v>0.7989999166557895</v>
      </c>
      <c r="J216" s="2" t="n">
        <v>0.0019742119929022778</v>
      </c>
      <c r="K216" s="2" t="n">
        <v>0.0001645176660751898</v>
      </c>
      <c r="L216" s="2" t="n">
        <v>20.45052530281511</v>
      </c>
      <c r="M216" s="2" t="n">
        <v>0.7322691191785964</v>
      </c>
      <c r="N216" s="2" t="n">
        <v>1.6295192870175887</v>
      </c>
      <c r="O216" s="2" t="n">
        <v>5.198875</v>
      </c>
      <c r="P216" s="2" t="n">
        <v>3.806975616969625</v>
      </c>
      <c r="Q216" s="2" t="n">
        <v>28.056939</v>
      </c>
      <c r="R216" s="2" t="n">
        <v>15.044637481556338</v>
      </c>
      <c r="S216" s="2" t="n">
        <v>53.391448780250066</v>
      </c>
      <c r="T216" s="2" t="n">
        <v>72.91233152114964</v>
      </c>
      <c r="U216" s="2" t="n">
        <v>0.0005709655716509734</v>
      </c>
      <c r="V216" s="2" t="n">
        <v>7.777039312105936</v>
      </c>
      <c r="W216" s="2" t="n">
        <v>1.5399723449580762e-05</v>
      </c>
      <c r="X216" s="2" t="n">
        <v>434.15824438087446</v>
      </c>
      <c r="Y216" s="2" t="n">
        <v>302.4937481526803</v>
      </c>
      <c r="Z216" s="2" t="n">
        <v>8.736199683292</v>
      </c>
      <c r="AA216" s="2" t="n">
        <v>333.31435862516736</v>
      </c>
      <c r="AB216" s="2" t="n">
        <v>25.889699607947875</v>
      </c>
      <c r="AC216" s="2" t="n">
        <v>213.64713781714903</v>
      </c>
      <c r="AD216" s="2" t="n">
        <v>0.6047801984690109</v>
      </c>
      <c r="AE216" s="2" t="n">
        <v>322.6277555902916</v>
      </c>
      <c r="AF216" s="2" t="n">
        <v>334.03134914546</v>
      </c>
      <c r="AG216" s="2" t="n">
        <v>310.2027489828838</v>
      </c>
      <c r="AH216" s="2" t="n">
        <v>23.82860016257621</v>
      </c>
      <c r="AI216" s="2" t="n">
        <v>7.264913829246165</v>
      </c>
      <c r="AJ216" s="2" t="n">
        <v>332.6415866370323</v>
      </c>
      <c r="AK216" s="2" t="n">
        <v>333.5386687700252</v>
      </c>
      <c r="AL216" s="2" t="n">
        <v>333.97023932431955</v>
      </c>
      <c r="AM216" s="2" t="n">
        <v>10867382748.699781</v>
      </c>
      <c r="AN216" s="2" t="n">
        <v>10834450946.99794</v>
      </c>
      <c r="AO216" s="2" t="n">
        <v>322.8726370427477</v>
      </c>
      <c r="AP216" s="2" t="n">
        <v>229.23555303310172</v>
      </c>
      <c r="AQ216" s="2" t="n">
        <v>2.035497314113186</v>
      </c>
      <c r="AR216" s="2" t="n">
        <v>11.855252612620722</v>
      </c>
      <c r="AS216" s="2" t="n">
        <v>1.6977087622505647</v>
      </c>
      <c r="AT216" s="2" t="n">
        <v>2.501753617314445</v>
      </c>
      <c r="AU216" s="2" t="n">
        <v>309.35006018480215</v>
      </c>
      <c r="AV216" s="2" t="n">
        <v>1.0205440048594026e-10</v>
      </c>
      <c r="AW216" s="2" t="n">
        <v>-2.0871604464707536e-05</v>
      </c>
      <c r="AX216" s="2" t="n">
        <v>178</v>
      </c>
      <c r="AY216" s="2" t="n">
        <v>9.026377938425867e-07</v>
      </c>
      <c r="AZ216" s="2" t="s">
        <v>131</v>
      </c>
      <c r="BA216" s="2" t="n">
        <v>4.48</v>
      </c>
      <c r="BB216" s="2" t="s">
        <v>132</v>
      </c>
      <c r="BC216" s="2" t="n">
        <v>4</v>
      </c>
      <c r="BD216" s="2" t="s">
        <v>133</v>
      </c>
      <c r="BE216" s="2" t="n">
        <v>3000</v>
      </c>
      <c r="BF216" s="2" t="s">
        <v>134</v>
      </c>
      <c r="BG216" s="2" t="n">
        <v>120</v>
      </c>
    </row>
    <row r="217" customFormat="false" ht="15" hidden="false" customHeight="false" outlineLevel="0" collapsed="false">
      <c r="A217" s="2" t="s">
        <v>350</v>
      </c>
      <c r="B217" s="2" t="s">
        <v>128</v>
      </c>
      <c r="C217" s="2" t="s">
        <v>129</v>
      </c>
      <c r="D217" s="2" t="s">
        <v>285</v>
      </c>
      <c r="E217" s="2" t="n">
        <v>0</v>
      </c>
      <c r="F217" s="2" t="n">
        <v>648.9930926631724</v>
      </c>
      <c r="G217" s="2" t="n">
        <v>313.6999522635069</v>
      </c>
      <c r="H217" s="2" t="n">
        <v>283.68879330065494</v>
      </c>
      <c r="I217" s="2" t="n">
        <v>0.45874124361804186</v>
      </c>
      <c r="J217" s="2" t="n">
        <v>0.0012306058071204667</v>
      </c>
      <c r="K217" s="2" t="n">
        <v>0.00010255048392670555</v>
      </c>
      <c r="L217" s="2" t="n">
        <v>34.280078662665765</v>
      </c>
      <c r="M217" s="2" t="n">
        <v>0.9406859729799403</v>
      </c>
      <c r="N217" s="2" t="n">
        <v>0.7118612023516874</v>
      </c>
      <c r="O217" s="2" t="n">
        <v>5.198875</v>
      </c>
      <c r="P217" s="2" t="n">
        <v>4.8905087877760876</v>
      </c>
      <c r="Q217" s="2" t="n">
        <v>28.056939</v>
      </c>
      <c r="R217" s="2" t="n">
        <v>24.827307550704376</v>
      </c>
      <c r="S217" s="2" t="n">
        <v>38.950773326630454</v>
      </c>
      <c r="T217" s="2" t="n">
        <v>41.40677595440352</v>
      </c>
      <c r="U217" s="2" t="n">
        <v>0.00048785495140049346</v>
      </c>
      <c r="V217" s="2" t="n">
        <v>2.8506786504758366</v>
      </c>
      <c r="W217" s="2" t="n">
        <v>3.5186175541724165e-06</v>
      </c>
      <c r="X217" s="2" t="n">
        <v>421.13616078078115</v>
      </c>
      <c r="Y217" s="2" t="n">
        <v>263.7559998949085</v>
      </c>
      <c r="Z217" s="2" t="n">
        <v>7.4432167257485595</v>
      </c>
      <c r="AA217" s="2" t="n">
        <v>345.92187762982763</v>
      </c>
      <c r="AB217" s="2" t="n">
        <v>32.22192536632076</v>
      </c>
      <c r="AC217" s="2" t="n">
        <v>165.7474018146178</v>
      </c>
      <c r="AD217" s="2" t="n">
        <v>0.4836962631630482</v>
      </c>
      <c r="AE217" s="2" t="n">
        <v>332.5951651956286</v>
      </c>
      <c r="AF217" s="2" t="n">
        <v>346.29915364358345</v>
      </c>
      <c r="AG217" s="2" t="n">
        <v>316.8887308583538</v>
      </c>
      <c r="AH217" s="2" t="n">
        <v>29.410422785229628</v>
      </c>
      <c r="AI217" s="2" t="n">
        <v>8.964600291781002</v>
      </c>
      <c r="AJ217" s="2" t="n">
        <v>344.8063691291076</v>
      </c>
      <c r="AK217" s="2" t="n">
        <v>345.77918676825107</v>
      </c>
      <c r="AL217" s="2" t="n">
        <v>346.24390865706835</v>
      </c>
      <c r="AM217" s="2" t="n">
        <v>12289929819.278566</v>
      </c>
      <c r="AN217" s="2" t="n">
        <v>12236683495.189934</v>
      </c>
      <c r="AO217" s="2" t="n">
        <v>332.9563873648462</v>
      </c>
      <c r="AP217" s="2" t="n">
        <v>222.35989289225245</v>
      </c>
      <c r="AQ217" s="2" t="n">
        <v>6.812286227961873</v>
      </c>
      <c r="AR217" s="2" t="n">
        <v>42.76459561790022</v>
      </c>
      <c r="AS217" s="2" t="n">
        <v>7.035664632779361</v>
      </c>
      <c r="AT217" s="2" t="n">
        <v>2.192365184463708</v>
      </c>
      <c r="AU217" s="2" t="n">
        <v>284.6994945332481</v>
      </c>
      <c r="AV217" s="2" t="n">
        <v>1.0088285762321901e-10</v>
      </c>
      <c r="AW217" s="2" t="n">
        <v>-2.6199054678073376e-05</v>
      </c>
      <c r="AX217" s="2" t="n">
        <v>282</v>
      </c>
      <c r="AY217" s="2" t="n">
        <v>9.5530049293302e-07</v>
      </c>
      <c r="AZ217" s="2" t="s">
        <v>131</v>
      </c>
      <c r="BA217" s="2" t="n">
        <v>4.48</v>
      </c>
      <c r="BB217" s="2" t="s">
        <v>132</v>
      </c>
      <c r="BC217" s="2" t="n">
        <v>4</v>
      </c>
      <c r="BD217" s="2" t="s">
        <v>133</v>
      </c>
      <c r="BE217" s="2" t="n">
        <v>3000</v>
      </c>
      <c r="BF217" s="2" t="s">
        <v>134</v>
      </c>
      <c r="BG217" s="2" t="n">
        <v>120</v>
      </c>
    </row>
    <row r="218" customFormat="false" ht="15" hidden="false" customHeight="false" outlineLevel="0" collapsed="false">
      <c r="A218" s="2" t="s">
        <v>351</v>
      </c>
      <c r="B218" s="2" t="s">
        <v>128</v>
      </c>
      <c r="C218" s="2" t="s">
        <v>129</v>
      </c>
      <c r="D218" s="2" t="s">
        <v>285</v>
      </c>
      <c r="E218" s="2" t="n">
        <v>0</v>
      </c>
      <c r="F218" s="2" t="n">
        <v>623.9176492141837</v>
      </c>
      <c r="G218" s="2" t="n">
        <v>290.31235534729996</v>
      </c>
      <c r="H218" s="2" t="n">
        <v>299.21686136363166</v>
      </c>
      <c r="I218" s="2" t="n">
        <v>4.0906953888072515</v>
      </c>
      <c r="J218" s="2" t="n">
        <v>0.0033777622678429395</v>
      </c>
      <c r="K218" s="2" t="n">
        <v>0.00028148018898691165</v>
      </c>
      <c r="L218" s="2" t="n">
        <v>30.996873141786853</v>
      </c>
      <c r="M218" s="2" t="n">
        <v>0.5315318183990226</v>
      </c>
      <c r="N218" s="2" t="n">
        <v>0.8387462478725332</v>
      </c>
      <c r="O218" s="2" t="n">
        <v>5.198875</v>
      </c>
      <c r="P218" s="2" t="n">
        <v>2.763367482379219</v>
      </c>
      <c r="Q218" s="2" t="n">
        <v>28.056939</v>
      </c>
      <c r="R218" s="2" t="n">
        <v>7.926816823301814</v>
      </c>
      <c r="S218" s="2" t="n">
        <v>58.08305554796267</v>
      </c>
      <c r="T218" s="2" t="n">
        <v>109.27484214004203</v>
      </c>
      <c r="U218" s="2" t="n">
        <v>0.000897981659188964</v>
      </c>
      <c r="V218" s="2" t="n">
        <v>54.88515359100314</v>
      </c>
      <c r="W218" s="2" t="n">
        <v>0.00018594684138862068</v>
      </c>
      <c r="X218" s="2" t="n">
        <v>404.8645299986283</v>
      </c>
      <c r="Y218" s="2" t="n">
        <v>285.70521809254103</v>
      </c>
      <c r="Z218" s="2" t="n">
        <v>21.244642477467554</v>
      </c>
      <c r="AA218" s="2" t="n">
        <v>305.2523440310203</v>
      </c>
      <c r="AB218" s="2" t="n">
        <v>14.939988683720344</v>
      </c>
      <c r="AC218" s="2" t="n">
        <v>210.93839164190112</v>
      </c>
      <c r="AD218" s="2" t="n">
        <v>0.640316122052299</v>
      </c>
      <c r="AE218" s="2" t="n">
        <v>299.5845391323694</v>
      </c>
      <c r="AF218" s="2" t="n">
        <v>306.2796377633314</v>
      </c>
      <c r="AG218" s="2" t="n">
        <v>292.46963359919454</v>
      </c>
      <c r="AH218" s="2" t="n">
        <v>13.810004164136842</v>
      </c>
      <c r="AI218" s="2" t="n">
        <v>4.186129101485861</v>
      </c>
      <c r="AJ218" s="2" t="n">
        <v>305.393963401849</v>
      </c>
      <c r="AK218" s="2" t="n">
        <v>305.93716530615393</v>
      </c>
      <c r="AL218" s="2" t="n">
        <v>306.2277665166269</v>
      </c>
      <c r="AM218" s="2" t="n">
        <v>8064655985.653343</v>
      </c>
      <c r="AN218" s="2" t="n">
        <v>8055223348.447146</v>
      </c>
      <c r="AO218" s="2" t="n">
        <v>299.6722037472315</v>
      </c>
      <c r="AP218" s="2" t="n">
        <v>213.76847183927575</v>
      </c>
      <c r="AQ218" s="2" t="n">
        <v>0.3541401231392411</v>
      </c>
      <c r="AR218" s="2" t="n">
        <v>2.423098082235293</v>
      </c>
      <c r="AS218" s="2" t="n">
        <v>0.05289407849191474</v>
      </c>
      <c r="AT218" s="2" t="n">
        <v>14.577983303741213</v>
      </c>
      <c r="AU218" s="2" t="n">
        <v>296.8707076076582</v>
      </c>
      <c r="AV218" s="2" t="n">
        <v>6.931628604434077e-11</v>
      </c>
      <c r="AW218" s="2" t="n">
        <v>-2.2473670437242625e-05</v>
      </c>
      <c r="AX218" s="2" t="n">
        <v>112</v>
      </c>
      <c r="AY218" s="2" t="n">
        <v>9.555566293784068e-07</v>
      </c>
      <c r="AZ218" s="2" t="s">
        <v>131</v>
      </c>
      <c r="BA218" s="2" t="n">
        <v>4.48</v>
      </c>
      <c r="BB218" s="2" t="s">
        <v>132</v>
      </c>
      <c r="BC218" s="2" t="n">
        <v>4</v>
      </c>
      <c r="BD218" s="2" t="s">
        <v>133</v>
      </c>
      <c r="BE218" s="2" t="n">
        <v>3000</v>
      </c>
      <c r="BF218" s="2" t="s">
        <v>134</v>
      </c>
      <c r="BG218" s="2" t="n">
        <v>120</v>
      </c>
    </row>
    <row r="219" customFormat="false" ht="15" hidden="false" customHeight="false" outlineLevel="0" collapsed="false">
      <c r="A219" s="2" t="s">
        <v>352</v>
      </c>
      <c r="B219" s="2" t="s">
        <v>128</v>
      </c>
      <c r="C219" s="2" t="s">
        <v>129</v>
      </c>
      <c r="D219" s="2" t="s">
        <v>285</v>
      </c>
      <c r="E219" s="2" t="n">
        <v>0</v>
      </c>
      <c r="F219" s="2" t="n">
        <v>610.9926881155436</v>
      </c>
      <c r="G219" s="2" t="n">
        <v>315.7110919008211</v>
      </c>
      <c r="H219" s="2" t="n">
        <v>289.7658278542958</v>
      </c>
      <c r="I219" s="2" t="n">
        <v>2.2434327763784983</v>
      </c>
      <c r="J219" s="2" t="n">
        <v>0.00244724580813314</v>
      </c>
      <c r="K219" s="2" t="n">
        <v>0.00020393715067776167</v>
      </c>
      <c r="L219" s="2" t="n">
        <v>23.855069242254956</v>
      </c>
      <c r="M219" s="2" t="n">
        <v>0.7248802101971221</v>
      </c>
      <c r="N219" s="2" t="n">
        <v>1.4517265423259404</v>
      </c>
      <c r="O219" s="2" t="n">
        <v>5.198875</v>
      </c>
      <c r="P219" s="2" t="n">
        <v>3.7685616027885636</v>
      </c>
      <c r="Q219" s="2" t="n">
        <v>28.056939</v>
      </c>
      <c r="R219" s="2" t="n">
        <v>14.742555608452124</v>
      </c>
      <c r="S219" s="2" t="n">
        <v>70.30083845371762</v>
      </c>
      <c r="T219" s="2" t="n">
        <v>96.98269791997795</v>
      </c>
      <c r="U219" s="2" t="n">
        <v>0.0005375327508057333</v>
      </c>
      <c r="V219" s="2" t="n">
        <v>9.557352530337367</v>
      </c>
      <c r="W219" s="2" t="n">
        <v>2.3459569625595567e-05</v>
      </c>
      <c r="X219" s="2" t="n">
        <v>396.477432266993</v>
      </c>
      <c r="Y219" s="2" t="n">
        <v>272.27629311324387</v>
      </c>
      <c r="Z219" s="2" t="n">
        <v>14.225044550238295</v>
      </c>
      <c r="AA219" s="2" t="n">
        <v>332.03904591957115</v>
      </c>
      <c r="AB219" s="2" t="n">
        <v>16.327954018750063</v>
      </c>
      <c r="AC219" s="2" t="n">
        <v>167.0266011761068</v>
      </c>
      <c r="AD219" s="2" t="n">
        <v>0.5177447553077926</v>
      </c>
      <c r="AE219" s="2" t="n">
        <v>325.41741336772816</v>
      </c>
      <c r="AF219" s="2" t="n">
        <v>332.68228283635693</v>
      </c>
      <c r="AG219" s="2" t="n">
        <v>317.5897401025612</v>
      </c>
      <c r="AH219" s="2" t="n">
        <v>15.09254273379571</v>
      </c>
      <c r="AI219" s="2" t="n">
        <v>4.58788740396994</v>
      </c>
      <c r="AJ219" s="2" t="n">
        <v>331.7668051744069</v>
      </c>
      <c r="AK219" s="2" t="n">
        <v>332.3491928752612</v>
      </c>
      <c r="AL219" s="2" t="n">
        <v>332.63910666006825</v>
      </c>
      <c r="AM219" s="2" t="n">
        <v>11227433780.565975</v>
      </c>
      <c r="AN219" s="2" t="n">
        <v>11214067213.378887</v>
      </c>
      <c r="AO219" s="2" t="n">
        <v>325.5143400838116</v>
      </c>
      <c r="AP219" s="2" t="n">
        <v>209.3400842369723</v>
      </c>
      <c r="AQ219" s="2" t="n">
        <v>5.018811491311581</v>
      </c>
      <c r="AR219" s="2" t="n">
        <v>32.16588390524827</v>
      </c>
      <c r="AS219" s="2" t="n">
        <v>5.1288326976702905</v>
      </c>
      <c r="AT219" s="2" t="n">
        <v>2.247843155069966</v>
      </c>
      <c r="AU219" s="2" t="n">
        <v>289.3921321782275</v>
      </c>
      <c r="AV219" s="2" t="n">
        <v>9.098982900468401e-11</v>
      </c>
      <c r="AW219" s="2" t="n">
        <v>-2.2709667088297825e-05</v>
      </c>
      <c r="AX219" s="2" t="n">
        <v>150</v>
      </c>
      <c r="AY219" s="2" t="n">
        <v>9.174017350233044e-07</v>
      </c>
      <c r="AZ219" s="2" t="s">
        <v>131</v>
      </c>
      <c r="BA219" s="2" t="n">
        <v>4.48</v>
      </c>
      <c r="BB219" s="2" t="s">
        <v>132</v>
      </c>
      <c r="BC219" s="2" t="n">
        <v>4</v>
      </c>
      <c r="BD219" s="2" t="s">
        <v>133</v>
      </c>
      <c r="BE219" s="2" t="n">
        <v>3000</v>
      </c>
      <c r="BF219" s="2" t="s">
        <v>134</v>
      </c>
      <c r="BG219" s="2" t="n">
        <v>120</v>
      </c>
    </row>
    <row r="220" customFormat="false" ht="15" hidden="false" customHeight="false" outlineLevel="0" collapsed="false">
      <c r="A220" s="2" t="s">
        <v>353</v>
      </c>
      <c r="B220" s="2" t="s">
        <v>128</v>
      </c>
      <c r="C220" s="2" t="s">
        <v>129</v>
      </c>
      <c r="D220" s="2" t="s">
        <v>285</v>
      </c>
      <c r="E220" s="2" t="n">
        <v>0</v>
      </c>
      <c r="F220" s="2" t="n">
        <v>522.3706289273963</v>
      </c>
      <c r="G220" s="2" t="n">
        <v>332.0387752991311</v>
      </c>
      <c r="H220" s="2" t="n">
        <v>288.33995168947916</v>
      </c>
      <c r="I220" s="2" t="n">
        <v>0.6914402749313582</v>
      </c>
      <c r="J220" s="2" t="n">
        <v>0.0023373925585374513</v>
      </c>
      <c r="K220" s="2" t="n">
        <v>0.00019478271321145428</v>
      </c>
      <c r="L220" s="2" t="n">
        <v>30.856270422065272</v>
      </c>
      <c r="M220" s="2" t="n">
        <v>0.8183561372415897</v>
      </c>
      <c r="N220" s="2" t="n">
        <v>0.7588139576633441</v>
      </c>
      <c r="O220" s="2" t="n">
        <v>5.198875</v>
      </c>
      <c r="P220" s="2" t="n">
        <v>4.25453126300187</v>
      </c>
      <c r="Q220" s="2" t="n">
        <v>28.056939</v>
      </c>
      <c r="R220" s="2" t="n">
        <v>18.789921919734084</v>
      </c>
      <c r="S220" s="2" t="n">
        <v>84.00400295579884</v>
      </c>
      <c r="T220" s="2" t="n">
        <v>102.64968897153848</v>
      </c>
      <c r="U220" s="2" t="n">
        <v>0.0004296546506892002</v>
      </c>
      <c r="V220" s="2" t="n">
        <v>6.580228494685612</v>
      </c>
      <c r="W220" s="2" t="n">
        <v>1.542685769002432e-05</v>
      </c>
      <c r="X220" s="2" t="n">
        <v>338.9699577053899</v>
      </c>
      <c r="Y220" s="2" t="n">
        <v>270.26904668492426</v>
      </c>
      <c r="Z220" s="2" t="n">
        <v>8.327473044739161</v>
      </c>
      <c r="AA220" s="2" t="n">
        <v>344.3228683124914</v>
      </c>
      <c r="AB220" s="2" t="n">
        <v>12.284093013360291</v>
      </c>
      <c r="AC220" s="2" t="n">
        <v>120.0192849588468</v>
      </c>
      <c r="AD220" s="2" t="n">
        <v>0.43514937331515086</v>
      </c>
      <c r="AE220" s="2" t="n">
        <v>339.3211525223381</v>
      </c>
      <c r="AF220" s="2" t="n">
        <v>344.77965866948153</v>
      </c>
      <c r="AG220" s="2" t="n">
        <v>333.4004583471444</v>
      </c>
      <c r="AH220" s="2" t="n">
        <v>11.379200322337113</v>
      </c>
      <c r="AI220" s="2" t="n">
        <v>3.455477065512321</v>
      </c>
      <c r="AJ220" s="2" t="n">
        <v>344.09998451310594</v>
      </c>
      <c r="AK220" s="2" t="n">
        <v>344.5341264173211</v>
      </c>
      <c r="AL220" s="2" t="n">
        <v>344.74918300930705</v>
      </c>
      <c r="AM220" s="2" t="n">
        <v>13265198463.114622</v>
      </c>
      <c r="AN220" s="2" t="n">
        <v>13256953524.09901</v>
      </c>
      <c r="AO220" s="2" t="n">
        <v>339.3738989914181</v>
      </c>
      <c r="AP220" s="2" t="n">
        <v>178.9761376684459</v>
      </c>
      <c r="AQ220" s="2" t="n">
        <v>7.399679787023375</v>
      </c>
      <c r="AR220" s="2" t="n">
        <v>44.22307639860957</v>
      </c>
      <c r="AS220" s="2" t="n">
        <v>7.334149268047219</v>
      </c>
      <c r="AT220" s="2" t="n">
        <v>2.1902329498959867</v>
      </c>
      <c r="AU220" s="2" t="n">
        <v>289.7920064551058</v>
      </c>
      <c r="AV220" s="2" t="n">
        <v>1.0550394335950842e-10</v>
      </c>
      <c r="AW220" s="2" t="n">
        <v>-2.8002453700755053e-05</v>
      </c>
      <c r="AX220" s="2" t="n">
        <v>160</v>
      </c>
      <c r="AY220" s="2" t="n">
        <v>9.497317705609021e-07</v>
      </c>
      <c r="AZ220" s="2" t="s">
        <v>131</v>
      </c>
      <c r="BA220" s="2" t="n">
        <v>4.48</v>
      </c>
      <c r="BB220" s="2" t="s">
        <v>132</v>
      </c>
      <c r="BC220" s="2" t="n">
        <v>4</v>
      </c>
      <c r="BD220" s="2" t="s">
        <v>133</v>
      </c>
      <c r="BE220" s="2" t="n">
        <v>3000</v>
      </c>
      <c r="BF220" s="2" t="s">
        <v>134</v>
      </c>
      <c r="BG220" s="2" t="n">
        <v>120</v>
      </c>
    </row>
    <row r="221" customFormat="false" ht="15" hidden="false" customHeight="false" outlineLevel="0" collapsed="false">
      <c r="A221" s="2" t="s">
        <v>354</v>
      </c>
      <c r="B221" s="2" t="s">
        <v>128</v>
      </c>
      <c r="C221" s="2" t="s">
        <v>129</v>
      </c>
      <c r="D221" s="2" t="s">
        <v>285</v>
      </c>
      <c r="E221" s="2" t="n">
        <v>0</v>
      </c>
      <c r="F221" s="2" t="n">
        <v>950.3622866703126</v>
      </c>
      <c r="G221" s="2" t="n">
        <v>295.7814849782505</v>
      </c>
      <c r="H221" s="2" t="n">
        <v>286.2211673831104</v>
      </c>
      <c r="I221" s="2" t="n">
        <v>2.115864048942399</v>
      </c>
      <c r="J221" s="2" t="n">
        <v>0.001486082338015767</v>
      </c>
      <c r="K221" s="2" t="n">
        <v>0.00012384019483464726</v>
      </c>
      <c r="L221" s="2" t="n">
        <v>27.604291821167436</v>
      </c>
      <c r="M221" s="2" t="n">
        <v>0.44587207115821836</v>
      </c>
      <c r="N221" s="2" t="n">
        <v>1.3931652955181915</v>
      </c>
      <c r="O221" s="2" t="n">
        <v>5.198875</v>
      </c>
      <c r="P221" s="2" t="n">
        <v>2.3180331639426823</v>
      </c>
      <c r="Q221" s="2" t="n">
        <v>28.056939</v>
      </c>
      <c r="R221" s="2" t="n">
        <v>5.577772889092424</v>
      </c>
      <c r="S221" s="2" t="n">
        <v>38.8977665559256</v>
      </c>
      <c r="T221" s="2" t="n">
        <v>87.2397467167722</v>
      </c>
      <c r="U221" s="2" t="n">
        <v>0.0005899375613685306</v>
      </c>
      <c r="V221" s="2" t="n">
        <v>18.211411130807846</v>
      </c>
      <c r="W221" s="2" t="n">
        <v>2.714509170695816e-05</v>
      </c>
      <c r="X221" s="2" t="n">
        <v>616.6967403563724</v>
      </c>
      <c r="Y221" s="2" t="n">
        <v>267.29553289306335</v>
      </c>
      <c r="Z221" s="2" t="n">
        <v>13.740283385981115</v>
      </c>
      <c r="AA221" s="2" t="n">
        <v>341.27711316350457</v>
      </c>
      <c r="AB221" s="2" t="n">
        <v>45.49562818525408</v>
      </c>
      <c r="AC221" s="2" t="n">
        <v>282.6108429227005</v>
      </c>
      <c r="AD221" s="2" t="n">
        <v>0.5632039655540351</v>
      </c>
      <c r="AE221" s="2" t="n">
        <v>322.42813084348825</v>
      </c>
      <c r="AF221" s="2" t="n">
        <v>342.05065796778</v>
      </c>
      <c r="AG221" s="2" t="n">
        <v>300.4406372158335</v>
      </c>
      <c r="AH221" s="2" t="n">
        <v>41.610020751946536</v>
      </c>
      <c r="AI221" s="2" t="n">
        <v>12.696866121724106</v>
      </c>
      <c r="AJ221" s="2" t="n">
        <v>339.79460749227366</v>
      </c>
      <c r="AK221" s="2" t="n">
        <v>341.2599357181738</v>
      </c>
      <c r="AL221" s="2" t="n">
        <v>341.9564829450596</v>
      </c>
      <c r="AM221" s="2" t="n">
        <v>10908025570.130882</v>
      </c>
      <c r="AN221" s="2" t="n">
        <v>10807660716.364271</v>
      </c>
      <c r="AO221" s="2" t="n">
        <v>323.174091670274</v>
      </c>
      <c r="AP221" s="2" t="n">
        <v>325.61587890816463</v>
      </c>
      <c r="AQ221" s="2" t="n">
        <v>5.049957990138894</v>
      </c>
      <c r="AR221" s="2" t="n">
        <v>32.74640443866737</v>
      </c>
      <c r="AS221" s="2" t="n">
        <v>5.208729300663895</v>
      </c>
      <c r="AT221" s="2" t="n">
        <v>2.249537768605846</v>
      </c>
      <c r="AU221" s="2" t="n">
        <v>285.752675838951</v>
      </c>
      <c r="AV221" s="2" t="n">
        <v>8.949285756898464e-11</v>
      </c>
      <c r="AW221" s="2" t="n">
        <v>-1.762099399751621e-05</v>
      </c>
      <c r="AX221" s="2" t="n">
        <v>210</v>
      </c>
      <c r="AY221" s="2" t="n">
        <v>9.860241902970301e-07</v>
      </c>
      <c r="AZ221" s="2" t="s">
        <v>131</v>
      </c>
      <c r="BA221" s="2" t="n">
        <v>4.48</v>
      </c>
      <c r="BB221" s="2" t="s">
        <v>132</v>
      </c>
      <c r="BC221" s="2" t="n">
        <v>4</v>
      </c>
      <c r="BD221" s="2" t="s">
        <v>133</v>
      </c>
      <c r="BE221" s="2" t="n">
        <v>3000</v>
      </c>
      <c r="BF221" s="2" t="s">
        <v>134</v>
      </c>
      <c r="BG221" s="2" t="n">
        <v>120</v>
      </c>
    </row>
    <row r="222" customFormat="false" ht="15" hidden="false" customHeight="false" outlineLevel="0" collapsed="false">
      <c r="A222" s="2" t="s">
        <v>355</v>
      </c>
      <c r="B222" s="2" t="s">
        <v>128</v>
      </c>
      <c r="C222" s="2" t="s">
        <v>129</v>
      </c>
      <c r="D222" s="2" t="s">
        <v>285</v>
      </c>
      <c r="E222" s="2" t="n">
        <v>0</v>
      </c>
      <c r="F222" s="2" t="n">
        <v>993.9093817115624</v>
      </c>
      <c r="G222" s="2" t="n">
        <v>317.4956586458829</v>
      </c>
      <c r="H222" s="2" t="n">
        <v>301.49548110473756</v>
      </c>
      <c r="I222" s="2" t="n">
        <v>0.5959332915090165</v>
      </c>
      <c r="J222" s="2" t="n">
        <v>0.003504414887031993</v>
      </c>
      <c r="K222" s="2" t="n">
        <v>0.00029203457391933273</v>
      </c>
      <c r="L222" s="2" t="n">
        <v>27.857231392334754</v>
      </c>
      <c r="M222" s="2" t="n">
        <v>0.8807695609541049</v>
      </c>
      <c r="N222" s="2" t="n">
        <v>1.1979703487290403</v>
      </c>
      <c r="O222" s="2" t="n">
        <v>5.198875</v>
      </c>
      <c r="P222" s="2" t="n">
        <v>4.579010851205273</v>
      </c>
      <c r="Q222" s="2" t="n">
        <v>28.056939</v>
      </c>
      <c r="R222" s="2" t="n">
        <v>21.765311261147527</v>
      </c>
      <c r="S222" s="2" t="n">
        <v>107.64606224059429</v>
      </c>
      <c r="T222" s="2" t="n">
        <v>122.21819078759408</v>
      </c>
      <c r="U222" s="2" t="n">
        <v>0.000502695746415278</v>
      </c>
      <c r="V222" s="2" t="n">
        <v>9.184715771688214</v>
      </c>
      <c r="W222" s="2" t="n">
        <v>3.2283906402669726e-05</v>
      </c>
      <c r="X222" s="2" t="n">
        <v>644.9547551583047</v>
      </c>
      <c r="Y222" s="2" t="n">
        <v>288.975010731658</v>
      </c>
      <c r="Z222" s="2" t="n">
        <v>7.964546507734263</v>
      </c>
      <c r="AA222" s="2" t="n">
        <v>338.36993961409706</v>
      </c>
      <c r="AB222" s="2" t="n">
        <v>20.87428096821418</v>
      </c>
      <c r="AC222" s="2" t="n">
        <v>305.77594930099116</v>
      </c>
      <c r="AD222" s="2" t="n">
        <v>0.5826699362703328</v>
      </c>
      <c r="AE222" s="2" t="n">
        <v>330.3410815834802</v>
      </c>
      <c r="AF222" s="2" t="n">
        <v>339.76179286812726</v>
      </c>
      <c r="AG222" s="2" t="n">
        <v>320.38278082451353</v>
      </c>
      <c r="AH222" s="2" t="n">
        <v>19.379012043613727</v>
      </c>
      <c r="AI222" s="2" t="n">
        <v>5.871980708100168</v>
      </c>
      <c r="AJ222" s="2" t="n">
        <v>338.4973981585283</v>
      </c>
      <c r="AK222" s="2" t="n">
        <v>339.26556469814864</v>
      </c>
      <c r="AL222" s="2" t="n">
        <v>339.6871942750769</v>
      </c>
      <c r="AM222" s="2" t="n">
        <v>11930881698.857374</v>
      </c>
      <c r="AN222" s="2" t="n">
        <v>11908315862.21851</v>
      </c>
      <c r="AO222" s="2" t="n">
        <v>330.4974666595895</v>
      </c>
      <c r="AP222" s="2" t="n">
        <v>340.5361107235849</v>
      </c>
      <c r="AQ222" s="2" t="n">
        <v>4.430635190908704</v>
      </c>
      <c r="AR222" s="2" t="n">
        <v>26.17984388759044</v>
      </c>
      <c r="AS222" s="2" t="n">
        <v>4.1497245294622</v>
      </c>
      <c r="AT222" s="2" t="n">
        <v>2.282276602508513</v>
      </c>
      <c r="AU222" s="2" t="n">
        <v>301.02007052947374</v>
      </c>
      <c r="AV222" s="2" t="n">
        <v>9.35281718739134e-11</v>
      </c>
      <c r="AW222" s="2" t="n">
        <v>-1.3962799707204455e-05</v>
      </c>
      <c r="AX222" s="2" t="n">
        <v>112</v>
      </c>
      <c r="AY222" s="2" t="n">
        <v>9.091345418710262e-07</v>
      </c>
      <c r="AZ222" s="2" t="s">
        <v>131</v>
      </c>
      <c r="BA222" s="2" t="n">
        <v>4.48</v>
      </c>
      <c r="BB222" s="2" t="s">
        <v>132</v>
      </c>
      <c r="BC222" s="2" t="n">
        <v>4</v>
      </c>
      <c r="BD222" s="2" t="s">
        <v>133</v>
      </c>
      <c r="BE222" s="2" t="n">
        <v>3000</v>
      </c>
      <c r="BF222" s="2" t="s">
        <v>134</v>
      </c>
      <c r="BG222" s="2" t="n">
        <v>120</v>
      </c>
    </row>
    <row r="223" customFormat="false" ht="15" hidden="false" customHeight="false" outlineLevel="0" collapsed="false">
      <c r="A223" s="2" t="s">
        <v>356</v>
      </c>
      <c r="B223" s="2" t="s">
        <v>128</v>
      </c>
      <c r="C223" s="2" t="s">
        <v>129</v>
      </c>
      <c r="D223" s="2" t="s">
        <v>285</v>
      </c>
      <c r="E223" s="2" t="n">
        <v>0</v>
      </c>
      <c r="F223" s="2" t="n">
        <v>588.9630374185974</v>
      </c>
      <c r="G223" s="2" t="n">
        <v>324.7739573130091</v>
      </c>
      <c r="H223" s="2" t="n">
        <v>285.2035945780365</v>
      </c>
      <c r="I223" s="2" t="n">
        <v>4.89751471772699</v>
      </c>
      <c r="J223" s="2" t="n">
        <v>0.0027906377200309</v>
      </c>
      <c r="K223" s="2" t="n">
        <v>0.0002325531433359083</v>
      </c>
      <c r="L223" s="2" t="n">
        <v>23.562711812830784</v>
      </c>
      <c r="M223" s="2" t="n">
        <v>0.8435587721278532</v>
      </c>
      <c r="N223" s="2" t="n">
        <v>1.014753715184559</v>
      </c>
      <c r="O223" s="2" t="n">
        <v>5.198875</v>
      </c>
      <c r="P223" s="2" t="n">
        <v>4.3855566114461935</v>
      </c>
      <c r="Q223" s="2" t="n">
        <v>28.056939</v>
      </c>
      <c r="R223" s="2" t="n">
        <v>19.96507655978825</v>
      </c>
      <c r="S223" s="2" t="n">
        <v>90.08945594913271</v>
      </c>
      <c r="T223" s="2" t="n">
        <v>106.79689302724525</v>
      </c>
      <c r="U223" s="2" t="n">
        <v>0.00047831867510527375</v>
      </c>
      <c r="V223" s="2" t="n">
        <v>7.771020548012534</v>
      </c>
      <c r="W223" s="2" t="n">
        <v>2.175135713582645e-05</v>
      </c>
      <c r="X223" s="2" t="n">
        <v>382.18223772218977</v>
      </c>
      <c r="Y223" s="2" t="n">
        <v>265.87136791608293</v>
      </c>
      <c r="Z223" s="2" t="n">
        <v>24.31055592736256</v>
      </c>
      <c r="AA223" s="2" t="n">
        <v>337.34708752854493</v>
      </c>
      <c r="AB223" s="2" t="n">
        <v>12.573130215535855</v>
      </c>
      <c r="AC223" s="2" t="n">
        <v>146.66387501223863</v>
      </c>
      <c r="AD223" s="2" t="n">
        <v>0.47162975077510555</v>
      </c>
      <c r="AE223" s="2" t="n">
        <v>332.31855414604416</v>
      </c>
      <c r="AF223" s="2" t="n">
        <v>337.9439978268329</v>
      </c>
      <c r="AG223" s="2" t="n">
        <v>326.29453172860394</v>
      </c>
      <c r="AH223" s="2" t="n">
        <v>11.64946609822897</v>
      </c>
      <c r="AI223" s="2" t="n">
        <v>3.536707893663536</v>
      </c>
      <c r="AJ223" s="2" t="n">
        <v>337.2139172252334</v>
      </c>
      <c r="AK223" s="2" t="n">
        <v>337.66457205776214</v>
      </c>
      <c r="AL223" s="2" t="n">
        <v>337.895778457406</v>
      </c>
      <c r="AM223" s="2" t="n">
        <v>12204311170.21076</v>
      </c>
      <c r="AN223" s="2" t="n">
        <v>12196026480.567831</v>
      </c>
      <c r="AO223" s="2" t="n">
        <v>332.374975289434</v>
      </c>
      <c r="AP223" s="2" t="n">
        <v>201.7922215173162</v>
      </c>
      <c r="AQ223" s="2" t="n">
        <v>6.614552571514874</v>
      </c>
      <c r="AR223" s="2" t="n">
        <v>41.73589053274829</v>
      </c>
      <c r="AS223" s="2" t="n">
        <v>6.777952276225365</v>
      </c>
      <c r="AT223" s="2" t="n">
        <v>2.2160636054032503</v>
      </c>
      <c r="AU223" s="2" t="n">
        <v>285.57501690747483</v>
      </c>
      <c r="AV223" s="2" t="n">
        <v>9.964622904590217e-11</v>
      </c>
      <c r="AW223" s="2" t="n">
        <v>-2.462483625980209e-05</v>
      </c>
      <c r="AX223" s="2" t="n">
        <v>136</v>
      </c>
      <c r="AY223" s="2" t="n">
        <v>9.57734812345734e-07</v>
      </c>
      <c r="AZ223" s="2" t="s">
        <v>131</v>
      </c>
      <c r="BA223" s="2" t="n">
        <v>4.48</v>
      </c>
      <c r="BB223" s="2" t="s">
        <v>132</v>
      </c>
      <c r="BC223" s="2" t="n">
        <v>4</v>
      </c>
      <c r="BD223" s="2" t="s">
        <v>133</v>
      </c>
      <c r="BE223" s="2" t="n">
        <v>3000</v>
      </c>
      <c r="BF223" s="2" t="s">
        <v>134</v>
      </c>
      <c r="BG223" s="2" t="n">
        <v>120</v>
      </c>
    </row>
    <row r="224" customFormat="false" ht="15" hidden="false" customHeight="false" outlineLevel="0" collapsed="false">
      <c r="A224" s="2" t="s">
        <v>357</v>
      </c>
      <c r="B224" s="2" t="s">
        <v>128</v>
      </c>
      <c r="C224" s="2" t="s">
        <v>129</v>
      </c>
      <c r="D224" s="2" t="s">
        <v>285</v>
      </c>
      <c r="E224" s="2" t="n">
        <v>0</v>
      </c>
      <c r="F224" s="2" t="n">
        <v>960.6991871640656</v>
      </c>
      <c r="G224" s="2" t="n">
        <v>324.58808239149823</v>
      </c>
      <c r="H224" s="2" t="n">
        <v>296.91197052618196</v>
      </c>
      <c r="I224" s="2" t="n">
        <v>0.3820632780819372</v>
      </c>
      <c r="J224" s="2" t="n">
        <v>0.003105908148534282</v>
      </c>
      <c r="K224" s="2" t="n">
        <v>0.00025882567904452353</v>
      </c>
      <c r="L224" s="2" t="n">
        <v>32.73016065231314</v>
      </c>
      <c r="M224" s="2" t="n">
        <v>0.6388308372440215</v>
      </c>
      <c r="N224" s="2" t="n">
        <v>0.8095196977501624</v>
      </c>
      <c r="O224" s="2" t="n">
        <v>5.198875</v>
      </c>
      <c r="P224" s="2" t="n">
        <v>3.3212016689770123</v>
      </c>
      <c r="Q224" s="2" t="n">
        <v>28.056939</v>
      </c>
      <c r="R224" s="2" t="n">
        <v>11.450172562594963</v>
      </c>
      <c r="S224" s="2" t="n">
        <v>107.17637552784338</v>
      </c>
      <c r="T224" s="2" t="n">
        <v>167.76957103419227</v>
      </c>
      <c r="U224" s="2" t="n">
        <v>0.0004474838682038683</v>
      </c>
      <c r="V224" s="2" t="n">
        <v>16.219766902337533</v>
      </c>
      <c r="W224" s="2" t="n">
        <v>5.052869226609508e-05</v>
      </c>
      <c r="X224" s="2" t="n">
        <v>623.4044274450723</v>
      </c>
      <c r="Y224" s="2" t="n">
        <v>282.41036926404763</v>
      </c>
      <c r="Z224" s="2" t="n">
        <v>7.151840456711361</v>
      </c>
      <c r="AA224" s="2" t="n">
        <v>346.2551127719235</v>
      </c>
      <c r="AB224" s="2" t="n">
        <v>21.667030380425274</v>
      </c>
      <c r="AC224" s="2" t="n">
        <v>281.2964699707693</v>
      </c>
      <c r="AD224" s="2" t="n">
        <v>0.554552843358185</v>
      </c>
      <c r="AE224" s="2" t="n">
        <v>337.7487171002858</v>
      </c>
      <c r="AF224" s="2" t="n">
        <v>347.4778177632983</v>
      </c>
      <c r="AG224" s="2" t="n">
        <v>327.37606530650595</v>
      </c>
      <c r="AH224" s="2" t="n">
        <v>20.101752456792326</v>
      </c>
      <c r="AI224" s="2" t="n">
        <v>6.089112894796197</v>
      </c>
      <c r="AJ224" s="2" t="n">
        <v>346.2224931927673</v>
      </c>
      <c r="AK224" s="2" t="n">
        <v>346.97007148346484</v>
      </c>
      <c r="AL224" s="2" t="n">
        <v>347.39769750393725</v>
      </c>
      <c r="AM224" s="2" t="n">
        <v>13038286697.132292</v>
      </c>
      <c r="AN224" s="2" t="n">
        <v>13012922170.890669</v>
      </c>
      <c r="AO224" s="2" t="n">
        <v>337.91318018804515</v>
      </c>
      <c r="AP224" s="2" t="n">
        <v>329.1575376909982</v>
      </c>
      <c r="AQ224" s="2" t="n">
        <v>6.180610788356986</v>
      </c>
      <c r="AR224" s="2" t="n">
        <v>35.805741087243284</v>
      </c>
      <c r="AS224" s="2" t="n">
        <v>5.8747693287533505</v>
      </c>
      <c r="AT224" s="2" t="n">
        <v>2.219715555127619</v>
      </c>
      <c r="AU224" s="2" t="n">
        <v>297.6468534404494</v>
      </c>
      <c r="AV224" s="2" t="n">
        <v>1.0042725762104964e-10</v>
      </c>
      <c r="AW224" s="2" t="n">
        <v>-1.571841573327329e-05</v>
      </c>
      <c r="AX224" s="2" t="n">
        <v>124</v>
      </c>
      <c r="AY224" s="2" t="n">
        <v>9.878124274109723e-07</v>
      </c>
      <c r="AZ224" s="2" t="s">
        <v>131</v>
      </c>
      <c r="BA224" s="2" t="n">
        <v>4.48</v>
      </c>
      <c r="BB224" s="2" t="s">
        <v>132</v>
      </c>
      <c r="BC224" s="2" t="n">
        <v>4</v>
      </c>
      <c r="BD224" s="2" t="s">
        <v>133</v>
      </c>
      <c r="BE224" s="2" t="n">
        <v>3000</v>
      </c>
      <c r="BF224" s="2" t="s">
        <v>134</v>
      </c>
      <c r="BG224" s="2" t="n">
        <v>120</v>
      </c>
    </row>
    <row r="225" customFormat="false" ht="15" hidden="false" customHeight="false" outlineLevel="0" collapsed="false">
      <c r="A225" s="2" t="s">
        <v>358</v>
      </c>
      <c r="B225" s="2" t="s">
        <v>128</v>
      </c>
      <c r="C225" s="2" t="s">
        <v>129</v>
      </c>
      <c r="D225" s="2" t="s">
        <v>285</v>
      </c>
      <c r="E225" s="2" t="n">
        <v>0</v>
      </c>
      <c r="F225" s="2" t="n">
        <v>999.4522266354367</v>
      </c>
      <c r="G225" s="2" t="n">
        <v>320.0804704792867</v>
      </c>
      <c r="H225" s="2" t="n">
        <v>284.1094494997233</v>
      </c>
      <c r="I225" s="2" t="n">
        <v>2.9701313160026355</v>
      </c>
      <c r="J225" s="2" t="n">
        <v>0.002868083862529738</v>
      </c>
      <c r="K225" s="2" t="n">
        <v>0.00023900698854414484</v>
      </c>
      <c r="L225" s="2" t="n">
        <v>32.08282035703057</v>
      </c>
      <c r="M225" s="2" t="n">
        <v>0.3876734759063512</v>
      </c>
      <c r="N225" s="2" t="n">
        <v>0.745653233584503</v>
      </c>
      <c r="O225" s="2" t="n">
        <v>5.198875</v>
      </c>
      <c r="P225" s="2" t="n">
        <v>2.0154659420526313</v>
      </c>
      <c r="Q225" s="2" t="n">
        <v>28.056939</v>
      </c>
      <c r="R225" s="2" t="n">
        <v>4.216697673326098</v>
      </c>
      <c r="S225" s="2" t="n">
        <v>93.8361958342309</v>
      </c>
      <c r="T225" s="2" t="n">
        <v>242.0495640431655</v>
      </c>
      <c r="U225" s="2" t="n">
        <v>0.0004719644578366569</v>
      </c>
      <c r="V225" s="2" t="n">
        <v>59.41445453157164</v>
      </c>
      <c r="W225" s="2" t="n">
        <v>0.00017091839342327732</v>
      </c>
      <c r="X225" s="2" t="n">
        <v>648.5515460293212</v>
      </c>
      <c r="Y225" s="2" t="n">
        <v>264.34286683406344</v>
      </c>
      <c r="Z225" s="2" t="n">
        <v>16.986499000810014</v>
      </c>
      <c r="AA225" s="2" t="n">
        <v>343.76155129419647</v>
      </c>
      <c r="AB225" s="2" t="n">
        <v>23.681080814909762</v>
      </c>
      <c r="AC225" s="2" t="n">
        <v>283.902781561872</v>
      </c>
      <c r="AD225" s="2" t="n">
        <v>0.5379893582898897</v>
      </c>
      <c r="AE225" s="2" t="n">
        <v>334.3630788370109</v>
      </c>
      <c r="AF225" s="2" t="n">
        <v>344.9475930377274</v>
      </c>
      <c r="AG225" s="2" t="n">
        <v>323.02155211602053</v>
      </c>
      <c r="AH225" s="2" t="n">
        <v>21.926040921706885</v>
      </c>
      <c r="AI225" s="2" t="n">
        <v>6.646099679568181</v>
      </c>
      <c r="AJ225" s="2" t="n">
        <v>343.5876216447544</v>
      </c>
      <c r="AK225" s="2" t="n">
        <v>344.4323011138132</v>
      </c>
      <c r="AL225" s="2" t="n">
        <v>344.87255086018234</v>
      </c>
      <c r="AM225" s="2" t="n">
        <v>12528554063.95105</v>
      </c>
      <c r="AN225" s="2" t="n">
        <v>12498942275.994972</v>
      </c>
      <c r="AO225" s="2" t="n">
        <v>334.5609416660587</v>
      </c>
      <c r="AP225" s="2" t="n">
        <v>342.43521630348164</v>
      </c>
      <c r="AQ225" s="2" t="n">
        <v>7.0822223145082965</v>
      </c>
      <c r="AR225" s="2" t="n">
        <v>44.22078372392414</v>
      </c>
      <c r="AS225" s="2" t="n">
        <v>7.229480922372276</v>
      </c>
      <c r="AT225" s="2" t="n">
        <v>2.205947817943306</v>
      </c>
      <c r="AU225" s="2" t="n">
        <v>284.8365005291618</v>
      </c>
      <c r="AV225" s="2" t="n">
        <v>8.454634325971712e-11</v>
      </c>
      <c r="AW225" s="2" t="n">
        <v>-1.5075406686052561e-05</v>
      </c>
      <c r="AX225" s="2" t="n">
        <v>131</v>
      </c>
      <c r="AY225" s="2" t="n">
        <v>9.88727720141469e-07</v>
      </c>
      <c r="AZ225" s="2" t="s">
        <v>131</v>
      </c>
      <c r="BA225" s="2" t="n">
        <v>4.48</v>
      </c>
      <c r="BB225" s="2" t="s">
        <v>132</v>
      </c>
      <c r="BC225" s="2" t="n">
        <v>4</v>
      </c>
      <c r="BD225" s="2" t="s">
        <v>133</v>
      </c>
      <c r="BE225" s="2" t="n">
        <v>3000</v>
      </c>
      <c r="BF225" s="2" t="s">
        <v>134</v>
      </c>
      <c r="BG225" s="2" t="n">
        <v>120</v>
      </c>
    </row>
    <row r="226" customFormat="false" ht="15" hidden="false" customHeight="false" outlineLevel="0" collapsed="false">
      <c r="A226" s="2" t="s">
        <v>359</v>
      </c>
      <c r="B226" s="2" t="s">
        <v>128</v>
      </c>
      <c r="C226" s="2" t="s">
        <v>129</v>
      </c>
      <c r="D226" s="2" t="s">
        <v>285</v>
      </c>
      <c r="E226" s="2" t="n">
        <v>0</v>
      </c>
      <c r="F226" s="2" t="n">
        <v>680.1064988451002</v>
      </c>
      <c r="G226" s="2" t="n">
        <v>320.8128609715633</v>
      </c>
      <c r="H226" s="2" t="n">
        <v>287.39991389334205</v>
      </c>
      <c r="I226" s="2" t="n">
        <v>3.5349710263752323</v>
      </c>
      <c r="J226" s="2" t="n">
        <v>0.0013746926772524172</v>
      </c>
      <c r="K226" s="2" t="n">
        <v>0.0001145577231043681</v>
      </c>
      <c r="L226" s="2" t="n">
        <v>21.184574710495223</v>
      </c>
      <c r="M226" s="2" t="n">
        <v>0.9649603371688646</v>
      </c>
      <c r="N226" s="2" t="n">
        <v>0.6951238360053801</v>
      </c>
      <c r="O226" s="2" t="n">
        <v>5.198875</v>
      </c>
      <c r="P226" s="2" t="n">
        <v>5.016708172898781</v>
      </c>
      <c r="Q226" s="2" t="n">
        <v>28.056939</v>
      </c>
      <c r="R226" s="2" t="n">
        <v>26.125175326379388</v>
      </c>
      <c r="S226" s="2" t="n">
        <v>47.77218077011987</v>
      </c>
      <c r="T226" s="2" t="n">
        <v>49.506885340262336</v>
      </c>
      <c r="U226" s="2" t="n">
        <v>0.0004443430521226632</v>
      </c>
      <c r="V226" s="2" t="n">
        <v>2.7335147765433283</v>
      </c>
      <c r="W226" s="2" t="n">
        <v>3.7690498961638822e-06</v>
      </c>
      <c r="X226" s="2" t="n">
        <v>441.32586784607736</v>
      </c>
      <c r="Y226" s="2" t="n">
        <v>268.94843919100117</v>
      </c>
      <c r="Z226" s="2" t="n">
        <v>19.132889900225884</v>
      </c>
      <c r="AA226" s="2" t="n">
        <v>350.98320072829017</v>
      </c>
      <c r="AB226" s="2" t="n">
        <v>30.17033975672689</v>
      </c>
      <c r="AC226" s="2" t="n">
        <v>173.36527065924193</v>
      </c>
      <c r="AD226" s="2" t="n">
        <v>0.48278220572817454</v>
      </c>
      <c r="AE226" s="2" t="n">
        <v>338.4496281091378</v>
      </c>
      <c r="AF226" s="2" t="n">
        <v>351.3961680229858</v>
      </c>
      <c r="AG226" s="2" t="n">
        <v>323.7926914704916</v>
      </c>
      <c r="AH226" s="2" t="n">
        <v>27.603476552494215</v>
      </c>
      <c r="AI226" s="2" t="n">
        <v>8.417948189313721</v>
      </c>
      <c r="AJ226" s="2" t="n">
        <v>349.94458736571494</v>
      </c>
      <c r="AK226" s="2" t="n">
        <v>350.89780886190607</v>
      </c>
      <c r="AL226" s="2" t="n">
        <v>351.34475136199615</v>
      </c>
      <c r="AM226" s="2" t="n">
        <v>13169907645.462025</v>
      </c>
      <c r="AN226" s="2" t="n">
        <v>13121278844.188314</v>
      </c>
      <c r="AO226" s="2" t="n">
        <v>338.7627754695113</v>
      </c>
      <c r="AP226" s="2" t="n">
        <v>233.02005822272886</v>
      </c>
      <c r="AQ226" s="2" t="n">
        <v>7.466329445031701</v>
      </c>
      <c r="AR226" s="2" t="n">
        <v>44.844505592823715</v>
      </c>
      <c r="AS226" s="2" t="n">
        <v>7.344005594871785</v>
      </c>
      <c r="AT226" s="2" t="n">
        <v>2.213186771741317</v>
      </c>
      <c r="AU226" s="2" t="n">
        <v>288.2244911738518</v>
      </c>
      <c r="AV226" s="2" t="n">
        <v>1.1923702913918534e-10</v>
      </c>
      <c r="AW226" s="2" t="n">
        <v>-2.40014760495169e-05</v>
      </c>
      <c r="AX226" s="2" t="n">
        <v>255</v>
      </c>
      <c r="AY226" s="2" t="n">
        <v>9.484307952334348e-07</v>
      </c>
      <c r="AZ226" s="2" t="s">
        <v>131</v>
      </c>
      <c r="BA226" s="2" t="n">
        <v>4.48</v>
      </c>
      <c r="BB226" s="2" t="s">
        <v>132</v>
      </c>
      <c r="BC226" s="2" t="n">
        <v>4</v>
      </c>
      <c r="BD226" s="2" t="s">
        <v>133</v>
      </c>
      <c r="BE226" s="2" t="n">
        <v>3000</v>
      </c>
      <c r="BF226" s="2" t="s">
        <v>134</v>
      </c>
      <c r="BG226" s="2" t="n">
        <v>120</v>
      </c>
    </row>
    <row r="227" customFormat="false" ht="15" hidden="false" customHeight="false" outlineLevel="0" collapsed="false">
      <c r="A227" s="2" t="s">
        <v>360</v>
      </c>
      <c r="B227" s="2" t="s">
        <v>128</v>
      </c>
      <c r="C227" s="2" t="s">
        <v>129</v>
      </c>
      <c r="D227" s="2" t="s">
        <v>285</v>
      </c>
      <c r="E227" s="2" t="n">
        <v>0</v>
      </c>
      <c r="F227" s="2" t="n">
        <v>956.4854188814586</v>
      </c>
      <c r="G227" s="2" t="n">
        <v>314.1584182568333</v>
      </c>
      <c r="H227" s="2" t="n">
        <v>309.9423891297645</v>
      </c>
      <c r="I227" s="2" t="n">
        <v>3.3764619958841906</v>
      </c>
      <c r="J227" s="2" t="n">
        <v>0.00412840722057437</v>
      </c>
      <c r="K227" s="2" t="n">
        <v>0.00034403393504786416</v>
      </c>
      <c r="L227" s="2" t="n">
        <v>25.373863120720998</v>
      </c>
      <c r="M227" s="2" t="n">
        <v>0.8618302393080226</v>
      </c>
      <c r="N227" s="2" t="n">
        <v>1.4068994465700877</v>
      </c>
      <c r="O227" s="2" t="n">
        <v>5.198875</v>
      </c>
      <c r="P227" s="2" t="n">
        <v>4.480547685382496</v>
      </c>
      <c r="Q227" s="2" t="n">
        <v>28.056939</v>
      </c>
      <c r="R227" s="2" t="n">
        <v>20.839329638566202</v>
      </c>
      <c r="S227" s="2" t="n">
        <v>117.04363209757801</v>
      </c>
      <c r="T227" s="2" t="n">
        <v>135.80822157221382</v>
      </c>
      <c r="U227" s="2" t="n">
        <v>0.0005446563610804355</v>
      </c>
      <c r="V227" s="2" t="n">
        <v>11.949682215193203</v>
      </c>
      <c r="W227" s="2" t="n">
        <v>4.9481599138187314e-05</v>
      </c>
      <c r="X227" s="2" t="n">
        <v>620.6700837101106</v>
      </c>
      <c r="Y227" s="2" t="n">
        <v>301.2038663522953</v>
      </c>
      <c r="Z227" s="2" t="n">
        <v>18.530555584359924</v>
      </c>
      <c r="AA227" s="2" t="n">
        <v>332.0369227115161</v>
      </c>
      <c r="AB227" s="2" t="n">
        <v>17.878504454682854</v>
      </c>
      <c r="AC227" s="2" t="n">
        <v>308.52474197421606</v>
      </c>
      <c r="AD227" s="2" t="n">
        <v>0.6109106854062485</v>
      </c>
      <c r="AE227" s="2" t="n">
        <v>325.4296341488879</v>
      </c>
      <c r="AF227" s="2" t="n">
        <v>333.5308501293425</v>
      </c>
      <c r="AG227" s="2" t="n">
        <v>316.9181799041373</v>
      </c>
      <c r="AH227" s="2" t="n">
        <v>16.61267022520525</v>
      </c>
      <c r="AI227" s="2" t="n">
        <v>5.02647397562553</v>
      </c>
      <c r="AJ227" s="2" t="n">
        <v>332.3847985708889</v>
      </c>
      <c r="AK227" s="2" t="n">
        <v>333.10056372996564</v>
      </c>
      <c r="AL227" s="2" t="n">
        <v>333.46996912291894</v>
      </c>
      <c r="AM227" s="2" t="n">
        <v>11231800288.214687</v>
      </c>
      <c r="AN227" s="2" t="n">
        <v>11215751848.260569</v>
      </c>
      <c r="AO227" s="2" t="n">
        <v>325.54598475068934</v>
      </c>
      <c r="AP227" s="2" t="n">
        <v>327.7138041989384</v>
      </c>
      <c r="AQ227" s="2" t="n">
        <v>2.488264827737495</v>
      </c>
      <c r="AR227" s="2" t="n">
        <v>14.472845422245019</v>
      </c>
      <c r="AS227" s="2" t="n">
        <v>2.227993159546409</v>
      </c>
      <c r="AT227" s="2" t="n">
        <v>2.3466356240429027</v>
      </c>
      <c r="AU227" s="2" t="n">
        <v>309.2202762004348</v>
      </c>
      <c r="AV227" s="2" t="n">
        <v>8.923251471060211e-11</v>
      </c>
      <c r="AW227" s="2" t="n">
        <v>-1.3483136826174393e-05</v>
      </c>
      <c r="AX227" s="2" t="n">
        <v>100</v>
      </c>
      <c r="AY227" s="2" t="n">
        <v>8.336753580806544e-07</v>
      </c>
      <c r="AZ227" s="2" t="s">
        <v>131</v>
      </c>
      <c r="BA227" s="2" t="n">
        <v>4.48</v>
      </c>
      <c r="BB227" s="2" t="s">
        <v>132</v>
      </c>
      <c r="BC227" s="2" t="n">
        <v>4</v>
      </c>
      <c r="BD227" s="2" t="s">
        <v>133</v>
      </c>
      <c r="BE227" s="2" t="n">
        <v>3000</v>
      </c>
      <c r="BF227" s="2" t="s">
        <v>134</v>
      </c>
      <c r="BG227" s="2" t="n">
        <v>120</v>
      </c>
    </row>
    <row r="228" customFormat="false" ht="15" hidden="false" customHeight="false" outlineLevel="0" collapsed="false">
      <c r="A228" s="2" t="s">
        <v>361</v>
      </c>
      <c r="B228" s="2" t="s">
        <v>128</v>
      </c>
      <c r="C228" s="2" t="s">
        <v>129</v>
      </c>
      <c r="D228" s="2" t="s">
        <v>285</v>
      </c>
      <c r="E228" s="2" t="n">
        <v>0</v>
      </c>
      <c r="F228" s="2" t="n">
        <v>888.0400407821114</v>
      </c>
      <c r="G228" s="2" t="n">
        <v>306.00548583089306</v>
      </c>
      <c r="H228" s="2" t="n">
        <v>310.51997125564117</v>
      </c>
      <c r="I228" s="2" t="n">
        <v>4.180149312646556</v>
      </c>
      <c r="J228" s="2" t="n">
        <v>0.001317892528247537</v>
      </c>
      <c r="K228" s="2" t="n">
        <v>0.00010982437735396142</v>
      </c>
      <c r="L228" s="2" t="n">
        <v>29.410049366286675</v>
      </c>
      <c r="M228" s="2" t="n">
        <v>0.7294833011691574</v>
      </c>
      <c r="N228" s="2" t="n">
        <v>1.9241982238578366</v>
      </c>
      <c r="O228" s="2" t="n">
        <v>5.198875</v>
      </c>
      <c r="P228" s="2" t="n">
        <v>3.7924924973658034</v>
      </c>
      <c r="Q228" s="2" t="n">
        <v>28.056939</v>
      </c>
      <c r="R228" s="2" t="n">
        <v>14.93038468181218</v>
      </c>
      <c r="S228" s="2" t="n">
        <v>42.44982412844251</v>
      </c>
      <c r="T228" s="2" t="n">
        <v>58.19163243409045</v>
      </c>
      <c r="U228" s="2" t="n">
        <v>0.00047939328012549083</v>
      </c>
      <c r="V228" s="2" t="n">
        <v>4.1906454459206435</v>
      </c>
      <c r="W228" s="2" t="n">
        <v>5.539438637626263e-06</v>
      </c>
      <c r="X228" s="2" t="n">
        <v>576.2553987437975</v>
      </c>
      <c r="Y228" s="2" t="n">
        <v>302.04620511889163</v>
      </c>
      <c r="Z228" s="2" t="n">
        <v>21.58456738805691</v>
      </c>
      <c r="AA228" s="2" t="n">
        <v>355.84580496949144</v>
      </c>
      <c r="AB228" s="2" t="n">
        <v>49.840319138598375</v>
      </c>
      <c r="AC228" s="2" t="n">
        <v>274.55988994860775</v>
      </c>
      <c r="AD228" s="2" t="n">
        <v>0.5855589474449377</v>
      </c>
      <c r="AE228" s="2" t="n">
        <v>335.22732221258946</v>
      </c>
      <c r="AF228" s="2" t="n">
        <v>356.509939838499</v>
      </c>
      <c r="AG228" s="2" t="n">
        <v>310.9902542292787</v>
      </c>
      <c r="AH228" s="2" t="n">
        <v>45.51968560922029</v>
      </c>
      <c r="AI228" s="2" t="n">
        <v>13.877976262220317</v>
      </c>
      <c r="AJ228" s="2" t="n">
        <v>354.14863715808593</v>
      </c>
      <c r="AK228" s="2" t="n">
        <v>355.682112961236</v>
      </c>
      <c r="AL228" s="2" t="n">
        <v>356.41110038047395</v>
      </c>
      <c r="AM228" s="2" t="n">
        <v>12758229378.988073</v>
      </c>
      <c r="AN228" s="2" t="n">
        <v>12628670491.67886</v>
      </c>
      <c r="AO228" s="2" t="n">
        <v>336.08381741894556</v>
      </c>
      <c r="AP228" s="2" t="n">
        <v>304.2628505367251</v>
      </c>
      <c r="AQ228" s="2" t="n">
        <v>4.116986128590658</v>
      </c>
      <c r="AR228" s="2" t="n">
        <v>22.031542922409887</v>
      </c>
      <c r="AS228" s="2" t="n">
        <v>3.5543964633233003</v>
      </c>
      <c r="AT228" s="2" t="n">
        <v>2.2768773258002577</v>
      </c>
      <c r="AU228" s="2" t="n">
        <v>310.55234262376916</v>
      </c>
      <c r="AV228" s="2" t="n">
        <v>8.767045756030712e-11</v>
      </c>
      <c r="AW228" s="2" t="n">
        <v>1.4834526066885592e-05</v>
      </c>
      <c r="AX228" s="2" t="n">
        <v>231</v>
      </c>
      <c r="AY228" s="2" t="n">
        <v>9.639690574658744e-07</v>
      </c>
      <c r="AZ228" s="2" t="s">
        <v>131</v>
      </c>
      <c r="BA228" s="2" t="n">
        <v>4.48</v>
      </c>
      <c r="BB228" s="2" t="s">
        <v>132</v>
      </c>
      <c r="BC228" s="2" t="n">
        <v>4</v>
      </c>
      <c r="BD228" s="2" t="s">
        <v>133</v>
      </c>
      <c r="BE228" s="2" t="n">
        <v>3000</v>
      </c>
      <c r="BF228" s="2" t="s">
        <v>134</v>
      </c>
      <c r="BG228" s="2" t="n">
        <v>120</v>
      </c>
    </row>
    <row r="229" customFormat="false" ht="15" hidden="false" customHeight="false" outlineLevel="0" collapsed="false">
      <c r="A229" s="2" t="s">
        <v>362</v>
      </c>
      <c r="B229" s="2" t="s">
        <v>128</v>
      </c>
      <c r="C229" s="2" t="s">
        <v>129</v>
      </c>
      <c r="D229" s="2" t="s">
        <v>285</v>
      </c>
      <c r="E229" s="2" t="n">
        <v>0</v>
      </c>
      <c r="F229" s="2" t="n">
        <v>695.9524660531556</v>
      </c>
      <c r="G229" s="2" t="n">
        <v>301.33984308613293</v>
      </c>
      <c r="H229" s="2" t="n">
        <v>297.6489608499865</v>
      </c>
      <c r="I229" s="2" t="n">
        <v>2.2843758590052206</v>
      </c>
      <c r="J229" s="2" t="n">
        <v>0.0029792250796977044</v>
      </c>
      <c r="K229" s="2" t="n">
        <v>0.0002482687566414754</v>
      </c>
      <c r="L229" s="2" t="n">
        <v>31.607641949744</v>
      </c>
      <c r="M229" s="2" t="n">
        <v>0.3894337058272441</v>
      </c>
      <c r="N229" s="2" t="n">
        <v>0.9647010961228121</v>
      </c>
      <c r="O229" s="2" t="n">
        <v>5.198875</v>
      </c>
      <c r="P229" s="2" t="n">
        <v>2.024617157382614</v>
      </c>
      <c r="Q229" s="2" t="n">
        <v>28.056939</v>
      </c>
      <c r="R229" s="2" t="n">
        <v>4.255076404226608</v>
      </c>
      <c r="S229" s="2" t="n">
        <v>66.63913058148806</v>
      </c>
      <c r="T229" s="2" t="n">
        <v>171.11803519916612</v>
      </c>
      <c r="U229" s="2" t="n">
        <v>0.0006903380866227762</v>
      </c>
      <c r="V229" s="2" t="n">
        <v>75.40353210212662</v>
      </c>
      <c r="W229" s="2" t="n">
        <v>0.00022532005409874284</v>
      </c>
      <c r="X229" s="2" t="n">
        <v>451.608426889155</v>
      </c>
      <c r="Y229" s="2" t="n">
        <v>283.4625135021757</v>
      </c>
      <c r="Z229" s="2" t="n">
        <v>14.380628264219837</v>
      </c>
      <c r="AA229" s="2" t="n">
        <v>318.9721825821502</v>
      </c>
      <c r="AB229" s="2" t="n">
        <v>17.632339496017266</v>
      </c>
      <c r="AC229" s="2" t="n">
        <v>219.57835960836633</v>
      </c>
      <c r="AD229" s="2" t="n">
        <v>0.5975524559562554</v>
      </c>
      <c r="AE229" s="2" t="n">
        <v>312.06878010319133</v>
      </c>
      <c r="AF229" s="2" t="n">
        <v>319.9487453975526</v>
      </c>
      <c r="AG229" s="2" t="n">
        <v>303.65036207346316</v>
      </c>
      <c r="AH229" s="2" t="n">
        <v>16.298383324089457</v>
      </c>
      <c r="AI229" s="2" t="n">
        <v>4.943005745311886</v>
      </c>
      <c r="AJ229" s="2" t="n">
        <v>318.94133942800926</v>
      </c>
      <c r="AK229" s="2" t="n">
        <v>319.5545385337467</v>
      </c>
      <c r="AL229" s="2" t="n">
        <v>319.88766990498954</v>
      </c>
      <c r="AM229" s="2" t="n">
        <v>9498482796.755627</v>
      </c>
      <c r="AN229" s="2" t="n">
        <v>9484212871.734766</v>
      </c>
      <c r="AO229" s="2" t="n">
        <v>312.1860984235075</v>
      </c>
      <c r="AP229" s="2" t="n">
        <v>238.44924939747386</v>
      </c>
      <c r="AQ229" s="2" t="n">
        <v>2.2038393741891604</v>
      </c>
      <c r="AR229" s="2" t="n">
        <v>14.592667990631607</v>
      </c>
      <c r="AS229" s="2" t="n">
        <v>2.074433420428617</v>
      </c>
      <c r="AT229" s="2" t="n">
        <v>2.4785554480744265</v>
      </c>
      <c r="AU229" s="2" t="n">
        <v>295.7252227734407</v>
      </c>
      <c r="AV229" s="2" t="n">
        <v>8.50670289764821e-11</v>
      </c>
      <c r="AW229" s="2" t="n">
        <v>-2.0774166523890866e-05</v>
      </c>
      <c r="AX229" s="2" t="n">
        <v>125</v>
      </c>
      <c r="AY229" s="2" t="n">
        <v>9.734416721585148e-07</v>
      </c>
      <c r="AZ229" s="2" t="s">
        <v>131</v>
      </c>
      <c r="BA229" s="2" t="n">
        <v>4.48</v>
      </c>
      <c r="BB229" s="2" t="s">
        <v>132</v>
      </c>
      <c r="BC229" s="2" t="n">
        <v>4</v>
      </c>
      <c r="BD229" s="2" t="s">
        <v>133</v>
      </c>
      <c r="BE229" s="2" t="n">
        <v>3000</v>
      </c>
      <c r="BF229" s="2" t="s">
        <v>134</v>
      </c>
      <c r="BG229" s="2" t="n">
        <v>120</v>
      </c>
    </row>
    <row r="230" customFormat="false" ht="15" hidden="false" customHeight="false" outlineLevel="0" collapsed="false">
      <c r="A230" s="2" t="s">
        <v>363</v>
      </c>
      <c r="B230" s="2" t="s">
        <v>128</v>
      </c>
      <c r="C230" s="2" t="s">
        <v>129</v>
      </c>
      <c r="D230" s="2" t="s">
        <v>285</v>
      </c>
      <c r="E230" s="2" t="n">
        <v>0</v>
      </c>
      <c r="F230" s="2" t="n">
        <v>802.9924902014172</v>
      </c>
      <c r="G230" s="2" t="n">
        <v>305.2677220228894</v>
      </c>
      <c r="H230" s="2" t="n">
        <v>309.7660951785853</v>
      </c>
      <c r="I230" s="2" t="n">
        <v>1.4430221549158342</v>
      </c>
      <c r="J230" s="2" t="n">
        <v>0.0023537552345677345</v>
      </c>
      <c r="K230" s="2" t="n">
        <v>0.00019614626954731122</v>
      </c>
      <c r="L230" s="2" t="n">
        <v>35.32651494038419</v>
      </c>
      <c r="M230" s="2" t="n">
        <v>0.7487757600745432</v>
      </c>
      <c r="N230" s="2" t="n">
        <v>1.9019596944060897</v>
      </c>
      <c r="O230" s="2" t="n">
        <v>5.198875</v>
      </c>
      <c r="P230" s="2" t="n">
        <v>3.892791579657541</v>
      </c>
      <c r="Q230" s="2" t="n">
        <v>28.056939</v>
      </c>
      <c r="R230" s="2" t="n">
        <v>15.73054760084829</v>
      </c>
      <c r="S230" s="2" t="n">
        <v>61.57451817952578</v>
      </c>
      <c r="T230" s="2" t="n">
        <v>82.23358909668205</v>
      </c>
      <c r="U230" s="2" t="n">
        <v>0.0005902664759122846</v>
      </c>
      <c r="V230" s="2" t="n">
        <v>8.851743403089</v>
      </c>
      <c r="W230" s="2" t="n">
        <v>2.0897529959950998e-05</v>
      </c>
      <c r="X230" s="2" t="n">
        <v>521.067447839131</v>
      </c>
      <c r="Y230" s="2" t="n">
        <v>300.9469176255435</v>
      </c>
      <c r="Z230" s="2" t="n">
        <v>11.18348418868017</v>
      </c>
      <c r="AA230" s="2" t="n">
        <v>331.7189322223973</v>
      </c>
      <c r="AB230" s="2" t="n">
        <v>26.451210199507898</v>
      </c>
      <c r="AC230" s="2" t="n">
        <v>260.24543927516635</v>
      </c>
      <c r="AD230" s="2" t="n">
        <v>0.6138153165201667</v>
      </c>
      <c r="AE230" s="2" t="n">
        <v>320.9976574551313</v>
      </c>
      <c r="AF230" s="2" t="n">
        <v>332.7190727852835</v>
      </c>
      <c r="AG230" s="2" t="n">
        <v>308.3354006606368</v>
      </c>
      <c r="AH230" s="2" t="n">
        <v>24.383672124646694</v>
      </c>
      <c r="AI230" s="2" t="n">
        <v>7.414263556164731</v>
      </c>
      <c r="AJ230" s="2" t="n">
        <v>331.2542093984005</v>
      </c>
      <c r="AK230" s="2" t="n">
        <v>332.19843437644704</v>
      </c>
      <c r="AL230" s="2" t="n">
        <v>332.6535895211909</v>
      </c>
      <c r="AM230" s="2" t="n">
        <v>10651096430.166183</v>
      </c>
      <c r="AN230" s="2" t="n">
        <v>10617137754.827707</v>
      </c>
      <c r="AO230" s="2" t="n">
        <v>321.25402610324824</v>
      </c>
      <c r="AP230" s="2" t="n">
        <v>275.1236124590612</v>
      </c>
      <c r="AQ230" s="2" t="n">
        <v>1.925311880850017</v>
      </c>
      <c r="AR230" s="2" t="n">
        <v>11.337146740100962</v>
      </c>
      <c r="AS230" s="2" t="n">
        <v>1.6157711647400799</v>
      </c>
      <c r="AT230" s="2" t="n">
        <v>2.508854744248171</v>
      </c>
      <c r="AU230" s="2" t="n">
        <v>308.3002324317161</v>
      </c>
      <c r="AV230" s="2" t="n">
        <v>1.0042725762104966e-10</v>
      </c>
      <c r="AW230" s="2" t="n">
        <v>-1.8833461546305973e-05</v>
      </c>
      <c r="AX230" s="2" t="n">
        <v>152</v>
      </c>
      <c r="AY230" s="2" t="n">
        <v>9.976837986869214e-07</v>
      </c>
      <c r="AZ230" s="2" t="s">
        <v>131</v>
      </c>
      <c r="BA230" s="2" t="n">
        <v>4.48</v>
      </c>
      <c r="BB230" s="2" t="s">
        <v>132</v>
      </c>
      <c r="BC230" s="2" t="n">
        <v>4</v>
      </c>
      <c r="BD230" s="2" t="s">
        <v>133</v>
      </c>
      <c r="BE230" s="2" t="n">
        <v>3000</v>
      </c>
      <c r="BF230" s="2" t="s">
        <v>134</v>
      </c>
      <c r="BG230" s="2" t="n">
        <v>120</v>
      </c>
    </row>
    <row r="231" customFormat="false" ht="15" hidden="false" customHeight="false" outlineLevel="0" collapsed="false">
      <c r="A231" s="2" t="s">
        <v>364</v>
      </c>
      <c r="B231" s="2" t="s">
        <v>128</v>
      </c>
      <c r="C231" s="2" t="s">
        <v>129</v>
      </c>
      <c r="D231" s="2" t="s">
        <v>285</v>
      </c>
      <c r="E231" s="2" t="n">
        <v>0</v>
      </c>
      <c r="F231" s="2" t="n">
        <v>918.7612768848704</v>
      </c>
      <c r="G231" s="2" t="n">
        <v>305.5290778681578</v>
      </c>
      <c r="H231" s="2" t="n">
        <v>293.4282921625265</v>
      </c>
      <c r="I231" s="2" t="n">
        <v>3.9545558085625574</v>
      </c>
      <c r="J231" s="2" t="n">
        <v>0.0025025841430679078</v>
      </c>
      <c r="K231" s="2" t="n">
        <v>0.0002085486785889923</v>
      </c>
      <c r="L231" s="2" t="n">
        <v>31.934462292942506</v>
      </c>
      <c r="M231" s="2" t="n">
        <v>0.7934159196471853</v>
      </c>
      <c r="N231" s="2" t="n">
        <v>1.2657028001187962</v>
      </c>
      <c r="O231" s="2" t="n">
        <v>5.198875</v>
      </c>
      <c r="P231" s="2" t="n">
        <v>4.124870189255761</v>
      </c>
      <c r="Q231" s="2" t="n">
        <v>28.056939</v>
      </c>
      <c r="R231" s="2" t="n">
        <v>17.662090606178698</v>
      </c>
      <c r="S231" s="2" t="n">
        <v>66.01287619636251</v>
      </c>
      <c r="T231" s="2" t="n">
        <v>83.20084656949787</v>
      </c>
      <c r="U231" s="2" t="n">
        <v>0.0005853934712189501</v>
      </c>
      <c r="V231" s="2" t="n">
        <v>9.259476680259793</v>
      </c>
      <c r="W231" s="2" t="n">
        <v>2.324234655278358e-05</v>
      </c>
      <c r="X231" s="2" t="n">
        <v>596.1906238995305</v>
      </c>
      <c r="Y231" s="2" t="n">
        <v>277.45468119714684</v>
      </c>
      <c r="Z231" s="2" t="n">
        <v>20.727312072537718</v>
      </c>
      <c r="AA231" s="2" t="n">
        <v>332.38566174359045</v>
      </c>
      <c r="AB231" s="2" t="n">
        <v>26.856583875432648</v>
      </c>
      <c r="AC231" s="2" t="n">
        <v>280.9413987443776</v>
      </c>
      <c r="AD231" s="2" t="n">
        <v>0.5791340970251706</v>
      </c>
      <c r="AE231" s="2" t="n">
        <v>321.59037693251537</v>
      </c>
      <c r="AF231" s="2" t="n">
        <v>333.5104177326281</v>
      </c>
      <c r="AG231" s="2" t="n">
        <v>308.72718670333285</v>
      </c>
      <c r="AH231" s="2" t="n">
        <v>24.78323102929528</v>
      </c>
      <c r="AI231" s="2" t="n">
        <v>7.524419213322804</v>
      </c>
      <c r="AJ231" s="2" t="n">
        <v>332.0130354548138</v>
      </c>
      <c r="AK231" s="2" t="n">
        <v>332.95900936915734</v>
      </c>
      <c r="AL231" s="2" t="n">
        <v>333.4418899471116</v>
      </c>
      <c r="AM231" s="2" t="n">
        <v>10730878574.893612</v>
      </c>
      <c r="AN231" s="2" t="n">
        <v>10695773041.720245</v>
      </c>
      <c r="AO231" s="2" t="n">
        <v>321.8539327473899</v>
      </c>
      <c r="AP231" s="2" t="n">
        <v>314.7886494189521</v>
      </c>
      <c r="AQ231" s="2" t="n">
        <v>4.034244784226515</v>
      </c>
      <c r="AR231" s="2" t="n">
        <v>25.7616573024726</v>
      </c>
      <c r="AS231" s="2" t="n">
        <v>4.0513940438486715</v>
      </c>
      <c r="AT231" s="2" t="n">
        <v>2.276274713064991</v>
      </c>
      <c r="AU231" s="2" t="n">
        <v>292.73772823916795</v>
      </c>
      <c r="AV231" s="2" t="n">
        <v>8.97532004273671e-11</v>
      </c>
      <c r="AW231" s="2" t="n">
        <v>-1.4743945024884897e-05</v>
      </c>
      <c r="AX231" s="2" t="n">
        <v>144</v>
      </c>
      <c r="AY231" s="2" t="n">
        <v>8.97086522400059e-07</v>
      </c>
      <c r="AZ231" s="2" t="s">
        <v>131</v>
      </c>
      <c r="BA231" s="2" t="n">
        <v>4.48</v>
      </c>
      <c r="BB231" s="2" t="s">
        <v>132</v>
      </c>
      <c r="BC231" s="2" t="n">
        <v>4</v>
      </c>
      <c r="BD231" s="2" t="s">
        <v>133</v>
      </c>
      <c r="BE231" s="2" t="n">
        <v>3000</v>
      </c>
      <c r="BF231" s="2" t="s">
        <v>134</v>
      </c>
      <c r="BG231" s="2" t="n">
        <v>120</v>
      </c>
    </row>
    <row r="232" customFormat="false" ht="15" hidden="false" customHeight="false" outlineLevel="0" collapsed="false">
      <c r="A232" s="2" t="s">
        <v>365</v>
      </c>
      <c r="B232" s="2" t="s">
        <v>128</v>
      </c>
      <c r="C232" s="2" t="s">
        <v>129</v>
      </c>
      <c r="D232" s="2" t="s">
        <v>285</v>
      </c>
      <c r="E232" s="2" t="n">
        <v>0</v>
      </c>
      <c r="F232" s="2" t="n">
        <v>908.9600359421569</v>
      </c>
      <c r="G232" s="2" t="n">
        <v>321.21226772648305</v>
      </c>
      <c r="H232" s="2" t="n">
        <v>299.842529320521</v>
      </c>
      <c r="I232" s="2" t="n">
        <v>0.5629212076970531</v>
      </c>
      <c r="J232" s="2" t="n">
        <v>0.0033878969705078447</v>
      </c>
      <c r="K232" s="2" t="n">
        <v>0.0002823247475423204</v>
      </c>
      <c r="L232" s="2" t="n">
        <v>23.740096988694994</v>
      </c>
      <c r="M232" s="2" t="n">
        <v>0.5953702403535246</v>
      </c>
      <c r="N232" s="2" t="n">
        <v>1.6336346151782446</v>
      </c>
      <c r="O232" s="2" t="n">
        <v>5.198875</v>
      </c>
      <c r="P232" s="2" t="n">
        <v>3.09525545831793</v>
      </c>
      <c r="Q232" s="2" t="n">
        <v>28.056939</v>
      </c>
      <c r="R232" s="2" t="n">
        <v>9.945223170568694</v>
      </c>
      <c r="S232" s="2" t="n">
        <v>108.95076001389663</v>
      </c>
      <c r="T232" s="2" t="n">
        <v>182.99665087257767</v>
      </c>
      <c r="U232" s="2" t="n">
        <v>0.00048016198330116727</v>
      </c>
      <c r="V232" s="2" t="n">
        <v>16.60404769480054</v>
      </c>
      <c r="W232" s="2" t="n">
        <v>5.6422069090654465e-05</v>
      </c>
      <c r="X232" s="2" t="n">
        <v>589.830530043117</v>
      </c>
      <c r="Y232" s="2" t="n">
        <v>286.6018086751454</v>
      </c>
      <c r="Z232" s="2" t="n">
        <v>7.839100589248802</v>
      </c>
      <c r="AA232" s="2" t="n">
        <v>340.4177846977966</v>
      </c>
      <c r="AB232" s="2" t="n">
        <v>19.205516971313557</v>
      </c>
      <c r="AC232" s="2" t="n">
        <v>271.9771873541478</v>
      </c>
      <c r="AD232" s="2" t="n">
        <v>0.5667007228199363</v>
      </c>
      <c r="AE232" s="2" t="n">
        <v>332.9679259584379</v>
      </c>
      <c r="AF232" s="2" t="n">
        <v>341.64118514955464</v>
      </c>
      <c r="AG232" s="2" t="n">
        <v>323.79807690044237</v>
      </c>
      <c r="AH232" s="2" t="n">
        <v>17.843108249112277</v>
      </c>
      <c r="AI232" s="2" t="n">
        <v>5.407804753428141</v>
      </c>
      <c r="AJ232" s="2" t="n">
        <v>340.486022015428</v>
      </c>
      <c r="AK232" s="2" t="n">
        <v>341.1857585192424</v>
      </c>
      <c r="AL232" s="2" t="n">
        <v>341.570940670374</v>
      </c>
      <c r="AM232" s="2" t="n">
        <v>12311078695.875456</v>
      </c>
      <c r="AN232" s="2" t="n">
        <v>12291633536.432657</v>
      </c>
      <c r="AO232" s="2" t="n">
        <v>333.0995353353896</v>
      </c>
      <c r="AP232" s="2" t="n">
        <v>311.43051986276583</v>
      </c>
      <c r="AQ232" s="2" t="n">
        <v>5.045173002069419</v>
      </c>
      <c r="AR232" s="2" t="n">
        <v>29.64279937156401</v>
      </c>
      <c r="AS232" s="2" t="n">
        <v>4.765415477408011</v>
      </c>
      <c r="AT232" s="2" t="n">
        <v>2.2557381418561144</v>
      </c>
      <c r="AU232" s="2" t="n">
        <v>299.7684595377341</v>
      </c>
      <c r="AV232" s="2" t="n">
        <v>8.415582897214336e-11</v>
      </c>
      <c r="AW232" s="2" t="n">
        <v>-1.669003919551375e-05</v>
      </c>
      <c r="AX232" s="2" t="n">
        <v>116</v>
      </c>
      <c r="AY232" s="2" t="n">
        <v>9.942991141542734e-07</v>
      </c>
      <c r="AZ232" s="2" t="s">
        <v>131</v>
      </c>
      <c r="BA232" s="2" t="n">
        <v>4.48</v>
      </c>
      <c r="BB232" s="2" t="s">
        <v>132</v>
      </c>
      <c r="BC232" s="2" t="n">
        <v>4</v>
      </c>
      <c r="BD232" s="2" t="s">
        <v>133</v>
      </c>
      <c r="BE232" s="2" t="n">
        <v>3000</v>
      </c>
      <c r="BF232" s="2" t="s">
        <v>134</v>
      </c>
      <c r="BG232" s="2" t="n">
        <v>120</v>
      </c>
    </row>
    <row r="233" customFormat="false" ht="15" hidden="false" customHeight="false" outlineLevel="0" collapsed="false">
      <c r="A233" s="2" t="s">
        <v>366</v>
      </c>
      <c r="B233" s="2" t="s">
        <v>128</v>
      </c>
      <c r="C233" s="2" t="s">
        <v>129</v>
      </c>
      <c r="D233" s="2" t="s">
        <v>285</v>
      </c>
      <c r="E233" s="2" t="n">
        <v>0</v>
      </c>
      <c r="F233" s="2" t="n">
        <v>686.4371720700185</v>
      </c>
      <c r="G233" s="2" t="n">
        <v>309.4804801699975</v>
      </c>
      <c r="H233" s="2" t="n">
        <v>302.38583987057604</v>
      </c>
      <c r="I233" s="2" t="n">
        <v>0.230778096596235</v>
      </c>
      <c r="J233" s="2" t="n">
        <v>0.0017702128710237273</v>
      </c>
      <c r="K233" s="2" t="n">
        <v>0.00014751773925197726</v>
      </c>
      <c r="L233" s="2" t="n">
        <v>23.45055794828122</v>
      </c>
      <c r="M233" s="2" t="n">
        <v>0.5667583170952764</v>
      </c>
      <c r="N233" s="2" t="n">
        <v>1.1116498442633933</v>
      </c>
      <c r="O233" s="2" t="n">
        <v>5.198875</v>
      </c>
      <c r="P233" s="2" t="n">
        <v>2.946505645788705</v>
      </c>
      <c r="Q233" s="2" t="n">
        <v>28.056939</v>
      </c>
      <c r="R233" s="2" t="n">
        <v>9.012309380222176</v>
      </c>
      <c r="S233" s="2" t="n">
        <v>50.4541153524791</v>
      </c>
      <c r="T233" s="2" t="n">
        <v>89.02227604010154</v>
      </c>
      <c r="U233" s="2" t="n">
        <v>0.0005417722294528673</v>
      </c>
      <c r="V233" s="2" t="n">
        <v>12.975577280387858</v>
      </c>
      <c r="W233" s="2" t="n">
        <v>2.3038649860286496e-05</v>
      </c>
      <c r="X233" s="2" t="n">
        <v>445.43388601643943</v>
      </c>
      <c r="Y233" s="2" t="n">
        <v>290.25603139938664</v>
      </c>
      <c r="Z233" s="2" t="n">
        <v>6.576956767065693</v>
      </c>
      <c r="AA233" s="2" t="n">
        <v>337.345363026826</v>
      </c>
      <c r="AB233" s="2" t="n">
        <v>27.8648828568285</v>
      </c>
      <c r="AC233" s="2" t="n">
        <v>206.1859165017956</v>
      </c>
      <c r="AD233" s="2" t="n">
        <v>0.5688847364728914</v>
      </c>
      <c r="AE233" s="2" t="n">
        <v>325.7929034376552</v>
      </c>
      <c r="AF233" s="2" t="n">
        <v>337.99356690874316</v>
      </c>
      <c r="AG233" s="2" t="n">
        <v>312.36588480157</v>
      </c>
      <c r="AH233" s="2" t="n">
        <v>25.627682107173143</v>
      </c>
      <c r="AI233" s="2" t="n">
        <v>7.808130001032849</v>
      </c>
      <c r="AJ233" s="2" t="n">
        <v>336.5326440965289</v>
      </c>
      <c r="AK233" s="2" t="n">
        <v>337.47817369470147</v>
      </c>
      <c r="AL233" s="2" t="n">
        <v>337.9310354941165</v>
      </c>
      <c r="AM233" s="2" t="n">
        <v>11304700572.478642</v>
      </c>
      <c r="AN233" s="2" t="n">
        <v>11265915262.72412</v>
      </c>
      <c r="AO233" s="2" t="n">
        <v>326.07294500104433</v>
      </c>
      <c r="AP233" s="2" t="n">
        <v>235.18909181668002</v>
      </c>
      <c r="AQ233" s="2" t="n">
        <v>3.663088670212607</v>
      </c>
      <c r="AR233" s="2" t="n">
        <v>21.972799128856256</v>
      </c>
      <c r="AS233" s="2" t="n">
        <v>3.367337279685664</v>
      </c>
      <c r="AT233" s="2" t="n">
        <v>2.3467384587038413</v>
      </c>
      <c r="AU233" s="2" t="n">
        <v>301.1837159684338</v>
      </c>
      <c r="AV233" s="2" t="n">
        <v>1.0361645763623526e-10</v>
      </c>
      <c r="AW233" s="2" t="n">
        <v>-2.126930677564938e-05</v>
      </c>
      <c r="AX233" s="2" t="n">
        <v>198</v>
      </c>
      <c r="AY233" s="2" t="n">
        <v>9.205498372466536e-07</v>
      </c>
      <c r="AZ233" s="2" t="s">
        <v>131</v>
      </c>
      <c r="BA233" s="2" t="n">
        <v>4.48</v>
      </c>
      <c r="BB233" s="2" t="s">
        <v>132</v>
      </c>
      <c r="BC233" s="2" t="n">
        <v>4</v>
      </c>
      <c r="BD233" s="2" t="s">
        <v>133</v>
      </c>
      <c r="BE233" s="2" t="n">
        <v>3000</v>
      </c>
      <c r="BF233" s="2" t="s">
        <v>134</v>
      </c>
      <c r="BG233" s="2" t="n">
        <v>120</v>
      </c>
    </row>
    <row r="234" customFormat="false" ht="15" hidden="false" customHeight="false" outlineLevel="0" collapsed="false">
      <c r="A234" s="2" t="s">
        <v>367</v>
      </c>
      <c r="B234" s="2" t="s">
        <v>128</v>
      </c>
      <c r="C234" s="2" t="s">
        <v>129</v>
      </c>
      <c r="D234" s="2" t="s">
        <v>285</v>
      </c>
      <c r="E234" s="2" t="n">
        <v>0</v>
      </c>
      <c r="F234" s="2" t="n">
        <v>966.7567607583318</v>
      </c>
      <c r="G234" s="2" t="n">
        <v>321.54322816887117</v>
      </c>
      <c r="H234" s="2" t="n">
        <v>299.19867659584054</v>
      </c>
      <c r="I234" s="2" t="n">
        <v>4.219572046538799</v>
      </c>
      <c r="J234" s="2" t="n">
        <v>0.0021313727364397498</v>
      </c>
      <c r="K234" s="2" t="n">
        <v>0.00017761439470331247</v>
      </c>
      <c r="L234" s="2" t="n">
        <v>28.413458528037964</v>
      </c>
      <c r="M234" s="2" t="n">
        <v>0.6768330925611562</v>
      </c>
      <c r="N234" s="2" t="n">
        <v>1.5945798571096983</v>
      </c>
      <c r="O234" s="2" t="n">
        <v>5.198875</v>
      </c>
      <c r="P234" s="2" t="n">
        <v>3.5187706440888813</v>
      </c>
      <c r="Q234" s="2" t="n">
        <v>28.056939</v>
      </c>
      <c r="R234" s="2" t="n">
        <v>12.85296891392561</v>
      </c>
      <c r="S234" s="2" t="n">
        <v>75.73842540023568</v>
      </c>
      <c r="T234" s="2" t="n">
        <v>111.90118543648519</v>
      </c>
      <c r="U234" s="2" t="n">
        <v>0.0004345412164796763</v>
      </c>
      <c r="V234" s="2" t="n">
        <v>7.440335423878921</v>
      </c>
      <c r="W234" s="2" t="n">
        <v>1.590584560925017e-05</v>
      </c>
      <c r="X234" s="2" t="n">
        <v>627.3352293534067</v>
      </c>
      <c r="Y234" s="2" t="n">
        <v>285.6791730824856</v>
      </c>
      <c r="Z234" s="2" t="n">
        <v>21.734373776847434</v>
      </c>
      <c r="AA234" s="2" t="n">
        <v>353.27320677229704</v>
      </c>
      <c r="AB234" s="2" t="n">
        <v>31.729978603425877</v>
      </c>
      <c r="AC234" s="2" t="n">
        <v>282.68675933080266</v>
      </c>
      <c r="AD234" s="2" t="n">
        <v>0.553801753836928</v>
      </c>
      <c r="AE234" s="2" t="n">
        <v>340.2511480475527</v>
      </c>
      <c r="AF234" s="2" t="n">
        <v>354.27765774331186</v>
      </c>
      <c r="AG234" s="2" t="n">
        <v>324.9761429920458</v>
      </c>
      <c r="AH234" s="2" t="n">
        <v>29.30151475126604</v>
      </c>
      <c r="AI234" s="2" t="n">
        <v>8.910602157095676</v>
      </c>
      <c r="AJ234" s="2" t="n">
        <v>352.5517770407245</v>
      </c>
      <c r="AK234" s="2" t="n">
        <v>353.66559842458105</v>
      </c>
      <c r="AL234" s="2" t="n">
        <v>354.1960237482705</v>
      </c>
      <c r="AM234" s="2" t="n">
        <v>13457986805.2875</v>
      </c>
      <c r="AN234" s="2" t="n">
        <v>13402888262.049189</v>
      </c>
      <c r="AO234" s="2" t="n">
        <v>340.60029873709976</v>
      </c>
      <c r="AP234" s="2" t="n">
        <v>331.2330010985988</v>
      </c>
      <c r="AQ234" s="2" t="n">
        <v>6.421798674838525</v>
      </c>
      <c r="AR234" s="2" t="n">
        <v>36.2186870002426</v>
      </c>
      <c r="AS234" s="2" t="n">
        <v>5.90580348305655</v>
      </c>
      <c r="AT234" s="2" t="n">
        <v>2.2396614980874774</v>
      </c>
      <c r="AU234" s="2" t="n">
        <v>299.68679149693537</v>
      </c>
      <c r="AV234" s="2" t="n">
        <v>9.378851473229589e-11</v>
      </c>
      <c r="AW234" s="2" t="n">
        <v>-1.5228138435415331e-05</v>
      </c>
      <c r="AX234" s="2" t="n">
        <v>167</v>
      </c>
      <c r="AY234" s="2" t="n">
        <v>9.410056236447417e-07</v>
      </c>
      <c r="AZ234" s="2" t="s">
        <v>131</v>
      </c>
      <c r="BA234" s="2" t="n">
        <v>4.48</v>
      </c>
      <c r="BB234" s="2" t="s">
        <v>132</v>
      </c>
      <c r="BC234" s="2" t="n">
        <v>4</v>
      </c>
      <c r="BD234" s="2" t="s">
        <v>133</v>
      </c>
      <c r="BE234" s="2" t="n">
        <v>3000</v>
      </c>
      <c r="BF234" s="2" t="s">
        <v>134</v>
      </c>
      <c r="BG234" s="2" t="n">
        <v>120</v>
      </c>
    </row>
    <row r="235" customFormat="false" ht="15" hidden="false" customHeight="false" outlineLevel="0" collapsed="false">
      <c r="A235" s="2" t="s">
        <v>368</v>
      </c>
      <c r="B235" s="2" t="s">
        <v>128</v>
      </c>
      <c r="C235" s="2" t="s">
        <v>129</v>
      </c>
      <c r="D235" s="2" t="s">
        <v>285</v>
      </c>
      <c r="E235" s="2" t="n">
        <v>0</v>
      </c>
      <c r="F235" s="2" t="n">
        <v>738.0053867574957</v>
      </c>
      <c r="G235" s="2" t="n">
        <v>289.3696945312351</v>
      </c>
      <c r="H235" s="2" t="n">
        <v>305.5242122313295</v>
      </c>
      <c r="I235" s="2" t="n">
        <v>4.3454273706794035</v>
      </c>
      <c r="J235" s="2" t="n">
        <v>0.003909713395561054</v>
      </c>
      <c r="K235" s="2" t="n">
        <v>0.0003258094496300878</v>
      </c>
      <c r="L235" s="2" t="n">
        <v>28.64815475173655</v>
      </c>
      <c r="M235" s="2" t="n">
        <v>0.513114346618246</v>
      </c>
      <c r="N235" s="2" t="n">
        <v>1.7813151165350603</v>
      </c>
      <c r="O235" s="2" t="n">
        <v>5.198875</v>
      </c>
      <c r="P235" s="2" t="n">
        <v>2.6676173487749337</v>
      </c>
      <c r="Q235" s="2" t="n">
        <v>28.056939</v>
      </c>
      <c r="R235" s="2" t="n">
        <v>7.387008576251062</v>
      </c>
      <c r="S235" s="2" t="n">
        <v>66.41604070818542</v>
      </c>
      <c r="T235" s="2" t="n">
        <v>129.43711503276003</v>
      </c>
      <c r="U235" s="2" t="n">
        <v>0.000908991415150149</v>
      </c>
      <c r="V235" s="2" t="n">
        <v>47.0077809858881</v>
      </c>
      <c r="W235" s="2" t="n">
        <v>0.00018433997092891366</v>
      </c>
      <c r="X235" s="2" t="n">
        <v>478.89686150464615</v>
      </c>
      <c r="Y235" s="2" t="n">
        <v>294.78645686068364</v>
      </c>
      <c r="Z235" s="2" t="n">
        <v>22.21262400858173</v>
      </c>
      <c r="AA235" s="2" t="n">
        <v>305.1350067674127</v>
      </c>
      <c r="AB235" s="2" t="n">
        <v>15.765312236177579</v>
      </c>
      <c r="AC235" s="2" t="n">
        <v>257.6462231782418</v>
      </c>
      <c r="AD235" s="2" t="n">
        <v>0.6611961654113454</v>
      </c>
      <c r="AE235" s="2" t="n">
        <v>299.3516397754292</v>
      </c>
      <c r="AF235" s="2" t="n">
        <v>306.46562970614474</v>
      </c>
      <c r="AG235" s="2" t="n">
        <v>291.8570046943622</v>
      </c>
      <c r="AH235" s="2" t="n">
        <v>14.608625011782522</v>
      </c>
      <c r="AI235" s="2" t="n">
        <v>4.432004094765944</v>
      </c>
      <c r="AJ235" s="2" t="n">
        <v>305.48485501944026</v>
      </c>
      <c r="AK235" s="2" t="n">
        <v>306.11372657959373</v>
      </c>
      <c r="AL235" s="2" t="n">
        <v>306.41487716531833</v>
      </c>
      <c r="AM235" s="2" t="n">
        <v>8040761078.479178</v>
      </c>
      <c r="AN235" s="2" t="n">
        <v>8030203769.190511</v>
      </c>
      <c r="AO235" s="2" t="n">
        <v>299.4499807092571</v>
      </c>
      <c r="AP235" s="2" t="n">
        <v>252.85754287445317</v>
      </c>
      <c r="AQ235" s="2" t="n">
        <v>-0.48573743098418076</v>
      </c>
      <c r="AR235" s="2" t="n">
        <v>-3.414913483637459</v>
      </c>
      <c r="AS235" s="2" t="n">
        <v>-0.8879855126957232</v>
      </c>
      <c r="AT235" s="2" t="n">
        <v>1.4693177499532646</v>
      </c>
      <c r="AU235" s="2" t="n">
        <v>303.176288861655</v>
      </c>
      <c r="AV235" s="2" t="n">
        <v>7.751708608338961e-11</v>
      </c>
      <c r="AW235" s="2" t="n">
        <v>-1.8571736994868998e-05</v>
      </c>
      <c r="AX235" s="2" t="n">
        <v>100</v>
      </c>
      <c r="AY235" s="2" t="n">
        <v>9.196809287459473e-07</v>
      </c>
      <c r="AZ235" s="2" t="s">
        <v>131</v>
      </c>
      <c r="BA235" s="2" t="n">
        <v>4.48</v>
      </c>
      <c r="BB235" s="2" t="s">
        <v>132</v>
      </c>
      <c r="BC235" s="2" t="n">
        <v>4</v>
      </c>
      <c r="BD235" s="2" t="s">
        <v>133</v>
      </c>
      <c r="BE235" s="2" t="n">
        <v>3000</v>
      </c>
      <c r="BF235" s="2" t="s">
        <v>134</v>
      </c>
      <c r="BG235" s="2" t="n">
        <v>120</v>
      </c>
    </row>
    <row r="236" customFormat="false" ht="15" hidden="false" customHeight="false" outlineLevel="0" collapsed="false">
      <c r="A236" s="2" t="s">
        <v>369</v>
      </c>
      <c r="B236" s="2" t="s">
        <v>128</v>
      </c>
      <c r="C236" s="2" t="s">
        <v>129</v>
      </c>
      <c r="D236" s="2" t="s">
        <v>285</v>
      </c>
      <c r="E236" s="2" t="n">
        <v>0</v>
      </c>
      <c r="F236" s="2" t="n">
        <v>766.4150109439472</v>
      </c>
      <c r="G236" s="2" t="n">
        <v>321.9041126381467</v>
      </c>
      <c r="H236" s="2" t="n">
        <v>294.18396443244046</v>
      </c>
      <c r="I236" s="2" t="n">
        <v>2.3031848468391036</v>
      </c>
      <c r="J236" s="2" t="n">
        <v>0.0018171311430569101</v>
      </c>
      <c r="K236" s="2" t="n">
        <v>0.0001514275952547425</v>
      </c>
      <c r="L236" s="2" t="n">
        <v>24.585703775069128</v>
      </c>
      <c r="M236" s="2" t="n">
        <v>0.7773931328276449</v>
      </c>
      <c r="N236" s="2" t="n">
        <v>0.5858195882900797</v>
      </c>
      <c r="O236" s="2" t="n">
        <v>5.198875</v>
      </c>
      <c r="P236" s="2" t="n">
        <v>4.041569723429323</v>
      </c>
      <c r="Q236" s="2" t="n">
        <v>28.056939</v>
      </c>
      <c r="R236" s="2" t="n">
        <v>16.95593284307634</v>
      </c>
      <c r="S236" s="2" t="n">
        <v>63.047049993724244</v>
      </c>
      <c r="T236" s="2" t="n">
        <v>81.10060062455214</v>
      </c>
      <c r="U236" s="2" t="n">
        <v>0.0004450505506141394</v>
      </c>
      <c r="V236" s="2" t="n">
        <v>6.339802881054788</v>
      </c>
      <c r="W236" s="2" t="n">
        <v>1.1554918010036688e-05</v>
      </c>
      <c r="X236" s="2" t="n">
        <v>497.3320655066039</v>
      </c>
      <c r="Y236" s="2" t="n">
        <v>278.52717358308115</v>
      </c>
      <c r="Z236" s="2" t="n">
        <v>14.452102417988595</v>
      </c>
      <c r="AA236" s="2" t="n">
        <v>349.6748164203711</v>
      </c>
      <c r="AB236" s="2" t="n">
        <v>27.77070378222436</v>
      </c>
      <c r="AC236" s="2" t="n">
        <v>210.9353847564647</v>
      </c>
      <c r="AD236" s="2" t="n">
        <v>0.5212565373347698</v>
      </c>
      <c r="AE236" s="2" t="n">
        <v>338.16424991801057</v>
      </c>
      <c r="AF236" s="2" t="n">
        <v>350.3259923199605</v>
      </c>
      <c r="AG236" s="2" t="n">
        <v>324.7596233277474</v>
      </c>
      <c r="AH236" s="2" t="n">
        <v>25.566368992213086</v>
      </c>
      <c r="AI236" s="2" t="n">
        <v>7.782762484421877</v>
      </c>
      <c r="AJ236" s="2" t="n">
        <v>348.86229500152126</v>
      </c>
      <c r="AK236" s="2" t="n">
        <v>349.8086147513128</v>
      </c>
      <c r="AL236" s="2" t="n">
        <v>350.25935795895407</v>
      </c>
      <c r="AM236" s="2" t="n">
        <v>13118595731.63374</v>
      </c>
      <c r="AN236" s="2" t="n">
        <v>13077079729.903887</v>
      </c>
      <c r="AO236" s="2" t="n">
        <v>338.432324763552</v>
      </c>
      <c r="AP236" s="2" t="n">
        <v>262.5913305874869</v>
      </c>
      <c r="AQ236" s="2" t="n">
        <v>6.626726760966151</v>
      </c>
      <c r="AR236" s="2" t="n">
        <v>38.7022648314616</v>
      </c>
      <c r="AS236" s="2" t="n">
        <v>6.3269984490950515</v>
      </c>
      <c r="AT236" s="2" t="n">
        <v>2.224479210637941</v>
      </c>
      <c r="AU236" s="2" t="n">
        <v>294.8183254804598</v>
      </c>
      <c r="AV236" s="2" t="n">
        <v>8.025068609640584e-11</v>
      </c>
      <c r="AW236" s="2" t="n">
        <v>-1.8920322502600378e-05</v>
      </c>
      <c r="AX236" s="2" t="n">
        <v>195</v>
      </c>
      <c r="AY236" s="2" t="n">
        <v>9.069477755474509e-07</v>
      </c>
      <c r="AZ236" s="2" t="s">
        <v>131</v>
      </c>
      <c r="BA236" s="2" t="n">
        <v>4.48</v>
      </c>
      <c r="BB236" s="2" t="s">
        <v>132</v>
      </c>
      <c r="BC236" s="2" t="n">
        <v>4</v>
      </c>
      <c r="BD236" s="2" t="s">
        <v>133</v>
      </c>
      <c r="BE236" s="2" t="n">
        <v>3000</v>
      </c>
      <c r="BF236" s="2" t="s">
        <v>134</v>
      </c>
      <c r="BG236" s="2" t="n">
        <v>120</v>
      </c>
    </row>
    <row r="237" customFormat="false" ht="15" hidden="false" customHeight="false" outlineLevel="0" collapsed="false">
      <c r="A237" s="2" t="s">
        <v>370</v>
      </c>
      <c r="B237" s="2" t="s">
        <v>128</v>
      </c>
      <c r="C237" s="2" t="s">
        <v>129</v>
      </c>
      <c r="D237" s="2" t="s">
        <v>285</v>
      </c>
      <c r="E237" s="2" t="n">
        <v>0</v>
      </c>
      <c r="F237" s="2" t="n">
        <v>884.3638675245929</v>
      </c>
      <c r="G237" s="2" t="n">
        <v>303.35546539574943</v>
      </c>
      <c r="H237" s="2" t="n">
        <v>288.02853974234205</v>
      </c>
      <c r="I237" s="2" t="n">
        <v>0.8757428671543821</v>
      </c>
      <c r="J237" s="2" t="n">
        <v>0.0017367782075718573</v>
      </c>
      <c r="K237" s="2" t="n">
        <v>0.00014473151729765477</v>
      </c>
      <c r="L237" s="2" t="n">
        <v>28.31474356375344</v>
      </c>
      <c r="M237" s="2" t="n">
        <v>0.5768889486866042</v>
      </c>
      <c r="N237" s="2" t="n">
        <v>0.5590624358151404</v>
      </c>
      <c r="O237" s="2" t="n">
        <v>5.198875</v>
      </c>
      <c r="P237" s="2" t="n">
        <v>2.99917353310307</v>
      </c>
      <c r="Q237" s="2" t="n">
        <v>28.056939</v>
      </c>
      <c r="R237" s="2" t="n">
        <v>9.337373403385842</v>
      </c>
      <c r="S237" s="2" t="n">
        <v>47.69433658429814</v>
      </c>
      <c r="T237" s="2" t="n">
        <v>82.67507410721463</v>
      </c>
      <c r="U237" s="2" t="n">
        <v>0.0005622965131534914</v>
      </c>
      <c r="V237" s="2" t="n">
        <v>17.1725567698681</v>
      </c>
      <c r="W237" s="2" t="n">
        <v>2.991466636529336e-05</v>
      </c>
      <c r="X237" s="2" t="n">
        <v>573.8699041837809</v>
      </c>
      <c r="Y237" s="2" t="n">
        <v>269.8313223221146</v>
      </c>
      <c r="Z237" s="2" t="n">
        <v>9.027822895186652</v>
      </c>
      <c r="AA237" s="2" t="n">
        <v>339.1404026623803</v>
      </c>
      <c r="AB237" s="2" t="n">
        <v>35.78493726663089</v>
      </c>
      <c r="AC237" s="2" t="n">
        <v>259.78908667276414</v>
      </c>
      <c r="AD237" s="2" t="n">
        <v>0.5563601176315597</v>
      </c>
      <c r="AE237" s="2" t="n">
        <v>324.3406419995573</v>
      </c>
      <c r="AF237" s="2" t="n">
        <v>339.9556415951114</v>
      </c>
      <c r="AG237" s="2" t="n">
        <v>307.0852309482216</v>
      </c>
      <c r="AH237" s="2" t="n">
        <v>32.87041064688981</v>
      </c>
      <c r="AI237" s="2" t="n">
        <v>10.01600176702465</v>
      </c>
      <c r="AJ237" s="2" t="n">
        <v>338.1009671068479</v>
      </c>
      <c r="AK237" s="2" t="n">
        <v>339.30187708370056</v>
      </c>
      <c r="AL237" s="2" t="n">
        <v>339.87855378832694</v>
      </c>
      <c r="AM237" s="2" t="n">
        <v>11129612369.020645</v>
      </c>
      <c r="AN237" s="2" t="n">
        <v>11066377681.794495</v>
      </c>
      <c r="AO237" s="2" t="n">
        <v>324.8029833744587</v>
      </c>
      <c r="AP237" s="2" t="n">
        <v>303.0033094090363</v>
      </c>
      <c r="AQ237" s="2" t="n">
        <v>5.115402956898047</v>
      </c>
      <c r="AR237" s="2" t="n">
        <v>32.875011466456094</v>
      </c>
      <c r="AS237" s="2" t="n">
        <v>5.223854555017897</v>
      </c>
      <c r="AT237" s="2" t="n">
        <v>2.2539350170075756</v>
      </c>
      <c r="AU237" s="2" t="n">
        <v>287.52114915814053</v>
      </c>
      <c r="AV237" s="2" t="n">
        <v>9.56109147409734e-11</v>
      </c>
      <c r="AW237" s="2" t="n">
        <v>-1.646080120383685e-05</v>
      </c>
      <c r="AX237" s="2" t="n">
        <v>196</v>
      </c>
      <c r="AY237" s="2" t="n">
        <v>9.114259000853053e-07</v>
      </c>
      <c r="AZ237" s="2" t="s">
        <v>131</v>
      </c>
      <c r="BA237" s="2" t="n">
        <v>4.48</v>
      </c>
      <c r="BB237" s="2" t="s">
        <v>132</v>
      </c>
      <c r="BC237" s="2" t="n">
        <v>4</v>
      </c>
      <c r="BD237" s="2" t="s">
        <v>133</v>
      </c>
      <c r="BE237" s="2" t="n">
        <v>3000</v>
      </c>
      <c r="BF237" s="2" t="s">
        <v>134</v>
      </c>
      <c r="BG237" s="2" t="n">
        <v>120</v>
      </c>
    </row>
    <row r="238" customFormat="false" ht="15" hidden="false" customHeight="false" outlineLevel="0" collapsed="false">
      <c r="A238" s="2" t="s">
        <v>371</v>
      </c>
      <c r="B238" s="2" t="s">
        <v>128</v>
      </c>
      <c r="C238" s="2" t="s">
        <v>129</v>
      </c>
      <c r="D238" s="2" t="s">
        <v>285</v>
      </c>
      <c r="E238" s="2" t="n">
        <v>0</v>
      </c>
      <c r="F238" s="2" t="n">
        <v>437.6104764645461</v>
      </c>
      <c r="G238" s="2" t="n">
        <v>325.04950234994914</v>
      </c>
      <c r="H238" s="2" t="n">
        <v>308.1722957690121</v>
      </c>
      <c r="I238" s="2" t="n">
        <v>1.9461150757183907</v>
      </c>
      <c r="J238" s="2" t="n">
        <v>0.0020633622140911563</v>
      </c>
      <c r="K238" s="2" t="n">
        <v>0.000171946851174263</v>
      </c>
      <c r="L238" s="2" t="n">
        <v>28.844420987806583</v>
      </c>
      <c r="M238" s="2" t="n">
        <v>0.5083549308773084</v>
      </c>
      <c r="N238" s="2" t="n">
        <v>1.9909328832864628</v>
      </c>
      <c r="O238" s="2" t="n">
        <v>5.198875</v>
      </c>
      <c r="P238" s="2" t="n">
        <v>2.642873741264767</v>
      </c>
      <c r="Q238" s="2" t="n">
        <v>28.056939</v>
      </c>
      <c r="R238" s="2" t="n">
        <v>7.250607046952359</v>
      </c>
      <c r="S238" s="2" t="n">
        <v>67.58725569376422</v>
      </c>
      <c r="T238" s="2" t="n">
        <v>132.95288702545588</v>
      </c>
      <c r="U238" s="2" t="n">
        <v>0.0004714096862748072</v>
      </c>
      <c r="V238" s="2" t="n">
        <v>12.351024588806489</v>
      </c>
      <c r="W238" s="2" t="n">
        <v>2.5561321406072284e-05</v>
      </c>
      <c r="X238" s="2" t="n">
        <v>283.9685014511791</v>
      </c>
      <c r="Y238" s="2" t="n">
        <v>298.6272729259853</v>
      </c>
      <c r="Z238" s="2" t="n">
        <v>13.095237287729883</v>
      </c>
      <c r="AA238" s="2" t="n">
        <v>338.943403805853</v>
      </c>
      <c r="AB238" s="2" t="n">
        <v>13.893901455903858</v>
      </c>
      <c r="AC238" s="2" t="n">
        <v>119.83287231034778</v>
      </c>
      <c r="AD238" s="2" t="n">
        <v>0.5186260607631137</v>
      </c>
      <c r="AE238" s="2" t="n">
        <v>333.23243473903347</v>
      </c>
      <c r="AF238" s="2" t="n">
        <v>339.3654102604893</v>
      </c>
      <c r="AG238" s="2" t="n">
        <v>326.52890080563134</v>
      </c>
      <c r="AH238" s="2" t="n">
        <v>12.836509454857946</v>
      </c>
      <c r="AI238" s="2" t="n">
        <v>3.905993630157512</v>
      </c>
      <c r="AJ238" s="2" t="n">
        <v>338.6175884101862</v>
      </c>
      <c r="AK238" s="2" t="n">
        <v>339.1005421510836</v>
      </c>
      <c r="AL238" s="2" t="n">
        <v>339.3294221233792</v>
      </c>
      <c r="AM238" s="2" t="n">
        <v>12340897128.124739</v>
      </c>
      <c r="AN238" s="2" t="n">
        <v>12330737858.09746</v>
      </c>
      <c r="AO238" s="2" t="n">
        <v>333.3010509254524</v>
      </c>
      <c r="AP238" s="2" t="n">
        <v>149.93536876622258</v>
      </c>
      <c r="AQ238" s="2" t="n">
        <v>3.9785516437728976</v>
      </c>
      <c r="AR238" s="2" t="n">
        <v>22.518847686058166</v>
      </c>
      <c r="AS238" s="2" t="n">
        <v>3.605148503400536</v>
      </c>
      <c r="AT238" s="2" t="n">
        <v>2.2750194626575815</v>
      </c>
      <c r="AU238" s="2" t="n">
        <v>308.0116815228778</v>
      </c>
      <c r="AV238" s="2" t="n">
        <v>9.925571475832841e-11</v>
      </c>
      <c r="AW238" s="2" t="n">
        <v>-3.386971055922023e-05</v>
      </c>
      <c r="AX238" s="2" t="n">
        <v>177</v>
      </c>
      <c r="AY238" s="2" t="n">
        <v>9.532598710393358e-07</v>
      </c>
      <c r="AZ238" s="2" t="s">
        <v>131</v>
      </c>
      <c r="BA238" s="2" t="n">
        <v>4.48</v>
      </c>
      <c r="BB238" s="2" t="s">
        <v>132</v>
      </c>
      <c r="BC238" s="2" t="n">
        <v>4</v>
      </c>
      <c r="BD238" s="2" t="s">
        <v>133</v>
      </c>
      <c r="BE238" s="2" t="n">
        <v>3000</v>
      </c>
      <c r="BF238" s="2" t="s">
        <v>134</v>
      </c>
      <c r="BG238" s="2" t="n">
        <v>120</v>
      </c>
    </row>
    <row r="239" customFormat="false" ht="15" hidden="false" customHeight="false" outlineLevel="0" collapsed="false">
      <c r="A239" s="2" t="s">
        <v>372</v>
      </c>
      <c r="B239" s="2" t="s">
        <v>128</v>
      </c>
      <c r="C239" s="2" t="s">
        <v>129</v>
      </c>
      <c r="D239" s="2" t="s">
        <v>285</v>
      </c>
      <c r="E239" s="2" t="n">
        <v>0</v>
      </c>
      <c r="F239" s="2" t="n">
        <v>570.7020416945799</v>
      </c>
      <c r="G239" s="2" t="n">
        <v>299.61215480901086</v>
      </c>
      <c r="H239" s="2" t="n">
        <v>284.4494100011706</v>
      </c>
      <c r="I239" s="2" t="n">
        <v>4.118973463653701</v>
      </c>
      <c r="J239" s="2" t="n">
        <v>0.0010500771550855609</v>
      </c>
      <c r="K239" s="2" t="n">
        <v>8.750642959046341e-05</v>
      </c>
      <c r="L239" s="2" t="n">
        <v>22.222897554247933</v>
      </c>
      <c r="M239" s="2" t="n">
        <v>0.9728284569128747</v>
      </c>
      <c r="N239" s="2" t="n">
        <v>1.6076400060279614</v>
      </c>
      <c r="O239" s="2" t="n">
        <v>5.198875</v>
      </c>
      <c r="P239" s="2" t="n">
        <v>5.057613543932922</v>
      </c>
      <c r="Q239" s="2" t="n">
        <v>28.056939</v>
      </c>
      <c r="R239" s="2" t="n">
        <v>26.55295258089301</v>
      </c>
      <c r="S239" s="2" t="n">
        <v>26.768997186799346</v>
      </c>
      <c r="T239" s="2" t="n">
        <v>27.516667503484367</v>
      </c>
      <c r="U239" s="2" t="n">
        <v>0.0006057270240122653</v>
      </c>
      <c r="V239" s="2" t="n">
        <v>2.7297578082709517</v>
      </c>
      <c r="W239" s="2" t="n">
        <v>2.875081558055925e-06</v>
      </c>
      <c r="X239" s="2" t="n">
        <v>370.3325497699047</v>
      </c>
      <c r="Y239" s="2" t="n">
        <v>264.8174709598574</v>
      </c>
      <c r="Z239" s="2" t="n">
        <v>21.352099161884063</v>
      </c>
      <c r="AA239" s="2" t="n">
        <v>334.5204721588672</v>
      </c>
      <c r="AB239" s="2" t="n">
        <v>34.90831734985636</v>
      </c>
      <c r="AC239" s="2" t="n">
        <v>153.2238630691254</v>
      </c>
      <c r="AD239" s="2" t="n">
        <v>0.5084907520157347</v>
      </c>
      <c r="AE239" s="2" t="n">
        <v>320.23025465101597</v>
      </c>
      <c r="AF239" s="2" t="n">
        <v>334.805668685601</v>
      </c>
      <c r="AG239" s="2" t="n">
        <v>303.18154335484525</v>
      </c>
      <c r="AH239" s="2" t="n">
        <v>31.62412533075576</v>
      </c>
      <c r="AI239" s="2" t="n">
        <v>9.65682570491272</v>
      </c>
      <c r="AJ239" s="2" t="n">
        <v>333.29125608168454</v>
      </c>
      <c r="AK239" s="2" t="n">
        <v>334.2914121593711</v>
      </c>
      <c r="AL239" s="2" t="n">
        <v>334.76546464333467</v>
      </c>
      <c r="AM239" s="2" t="n">
        <v>10573217356.67288</v>
      </c>
      <c r="AN239" s="2" t="n">
        <v>10515972527.01666</v>
      </c>
      <c r="AO239" s="2" t="n">
        <v>320.6651698146413</v>
      </c>
      <c r="AP239" s="2" t="n">
        <v>195.5355862785097</v>
      </c>
      <c r="AQ239" s="2" t="n">
        <v>4.841656408966395</v>
      </c>
      <c r="AR239" s="2" t="n">
        <v>32.3227018831539</v>
      </c>
      <c r="AS239" s="2" t="n">
        <v>5.147427901102634</v>
      </c>
      <c r="AT239" s="2" t="n">
        <v>2.2396296173533403</v>
      </c>
      <c r="AU239" s="2" t="n">
        <v>284.0293398067319</v>
      </c>
      <c r="AV239" s="2" t="n">
        <v>1.1090605767094531e-10</v>
      </c>
      <c r="AW239" s="2" t="n">
        <v>-3.261325712461424e-05</v>
      </c>
      <c r="AX239" s="2" t="n">
        <v>319</v>
      </c>
      <c r="AY239" s="2" t="n">
        <v>9.987256248678023e-07</v>
      </c>
      <c r="AZ239" s="2" t="s">
        <v>131</v>
      </c>
      <c r="BA239" s="2" t="n">
        <v>4.48</v>
      </c>
      <c r="BB239" s="2" t="s">
        <v>132</v>
      </c>
      <c r="BC239" s="2" t="n">
        <v>4</v>
      </c>
      <c r="BD239" s="2" t="s">
        <v>133</v>
      </c>
      <c r="BE239" s="2" t="n">
        <v>3000</v>
      </c>
      <c r="BF239" s="2" t="s">
        <v>134</v>
      </c>
      <c r="BG239" s="2" t="n">
        <v>120</v>
      </c>
    </row>
    <row r="240" customFormat="false" ht="15" hidden="false" customHeight="false" outlineLevel="0" collapsed="false">
      <c r="A240" s="2" t="s">
        <v>373</v>
      </c>
      <c r="B240" s="2" t="s">
        <v>128</v>
      </c>
      <c r="C240" s="2" t="s">
        <v>129</v>
      </c>
      <c r="D240" s="2" t="s">
        <v>285</v>
      </c>
      <c r="E240" s="2" t="n">
        <v>0</v>
      </c>
      <c r="F240" s="2" t="n">
        <v>761.1395219900372</v>
      </c>
      <c r="G240" s="2" t="n">
        <v>288.52883770572555</v>
      </c>
      <c r="H240" s="2" t="n">
        <v>300.889705139258</v>
      </c>
      <c r="I240" s="2" t="n">
        <v>4.958833775802377</v>
      </c>
      <c r="J240" s="2" t="n">
        <v>0.003595088206244173</v>
      </c>
      <c r="K240" s="2" t="n">
        <v>0.00029959068385368106</v>
      </c>
      <c r="L240" s="2" t="n">
        <v>20.923380280253493</v>
      </c>
      <c r="M240" s="2" t="n">
        <v>0.8178367762280855</v>
      </c>
      <c r="N240" s="2" t="n">
        <v>1.176867077337373</v>
      </c>
      <c r="O240" s="2" t="n">
        <v>5.198875</v>
      </c>
      <c r="P240" s="2" t="n">
        <v>4.251831170012788</v>
      </c>
      <c r="Q240" s="2" t="n">
        <v>28.056939</v>
      </c>
      <c r="R240" s="2" t="n">
        <v>18.766079839730995</v>
      </c>
      <c r="S240" s="2" t="n">
        <v>60.987727326675284</v>
      </c>
      <c r="T240" s="2" t="n">
        <v>74.57200397364683</v>
      </c>
      <c r="U240" s="2" t="n">
        <v>0.0009102379576648103</v>
      </c>
      <c r="V240" s="2" t="n">
        <v>19.7742305435789</v>
      </c>
      <c r="W240" s="2" t="n">
        <v>7.130401505995366e-05</v>
      </c>
      <c r="X240" s="2" t="n">
        <v>493.908763795989</v>
      </c>
      <c r="Y240" s="2" t="n">
        <v>288.1045192999049</v>
      </c>
      <c r="Z240" s="2" t="n">
        <v>24.543568348049032</v>
      </c>
      <c r="AA240" s="2" t="n">
        <v>305.8575709661964</v>
      </c>
      <c r="AB240" s="2" t="n">
        <v>17.32873326047087</v>
      </c>
      <c r="AC240" s="2" t="n">
        <v>260.4069967187764</v>
      </c>
      <c r="AD240" s="2" t="n">
        <v>0.6479693345231291</v>
      </c>
      <c r="AE240" s="2" t="n">
        <v>299.3238795340518</v>
      </c>
      <c r="AF240" s="2" t="n">
        <v>307.12714683432074</v>
      </c>
      <c r="AG240" s="2" t="n">
        <v>291.11940915663223</v>
      </c>
      <c r="AH240" s="2" t="n">
        <v>16.00773767768851</v>
      </c>
      <c r="AI240" s="2" t="n">
        <v>4.86492000560694</v>
      </c>
      <c r="AJ240" s="2" t="n">
        <v>306.05799079170225</v>
      </c>
      <c r="AK240" s="2" t="n">
        <v>306.70631395689065</v>
      </c>
      <c r="AL240" s="2" t="n">
        <v>307.0683035191745</v>
      </c>
      <c r="AM240" s="2" t="n">
        <v>8039943053.644325</v>
      </c>
      <c r="AN240" s="2" t="n">
        <v>8027225473.98704</v>
      </c>
      <c r="AO240" s="2" t="n">
        <v>299.44236430129394</v>
      </c>
      <c r="AP240" s="2" t="n">
        <v>260.7838272842822</v>
      </c>
      <c r="AQ240" s="2" t="n">
        <v>0.08839563098544212</v>
      </c>
      <c r="AR240" s="2" t="n">
        <v>0.5137348130041873</v>
      </c>
      <c r="AS240" s="2" t="n">
        <v>-0.22525947856665973</v>
      </c>
      <c r="AT240" s="2" t="n">
        <v>-0.45579421519164254</v>
      </c>
      <c r="AU240" s="2" t="n">
        <v>298.7485046694958</v>
      </c>
      <c r="AV240" s="2" t="n">
        <v>9.242171472578772e-11</v>
      </c>
      <c r="AW240" s="2" t="n">
        <v>-1.700920260012385e-05</v>
      </c>
      <c r="AX240" s="2" t="n">
        <v>106</v>
      </c>
      <c r="AY240" s="2" t="n">
        <v>8.787629326434399e-07</v>
      </c>
      <c r="AZ240" s="2" t="s">
        <v>131</v>
      </c>
      <c r="BA240" s="2" t="n">
        <v>4.48</v>
      </c>
      <c r="BB240" s="2" t="s">
        <v>132</v>
      </c>
      <c r="BC240" s="2" t="n">
        <v>4</v>
      </c>
      <c r="BD240" s="2" t="s">
        <v>133</v>
      </c>
      <c r="BE240" s="2" t="n">
        <v>3000</v>
      </c>
      <c r="BF240" s="2" t="s">
        <v>134</v>
      </c>
      <c r="BG240" s="2" t="n">
        <v>120</v>
      </c>
    </row>
    <row r="241" customFormat="false" ht="15" hidden="false" customHeight="false" outlineLevel="0" collapsed="false">
      <c r="A241" s="2" t="s">
        <v>374</v>
      </c>
      <c r="B241" s="2" t="s">
        <v>128</v>
      </c>
      <c r="C241" s="2" t="s">
        <v>129</v>
      </c>
      <c r="D241" s="2" t="s">
        <v>285</v>
      </c>
      <c r="E241" s="2" t="n">
        <v>0</v>
      </c>
      <c r="F241" s="2" t="n">
        <v>941.2806483603697</v>
      </c>
      <c r="G241" s="2" t="n">
        <v>317.9837580546498</v>
      </c>
      <c r="H241" s="2" t="n">
        <v>312.87214774953674</v>
      </c>
      <c r="I241" s="2" t="n">
        <v>4.657341990965279</v>
      </c>
      <c r="J241" s="2" t="n">
        <v>0.0037838391604702697</v>
      </c>
      <c r="K241" s="2" t="n">
        <v>0.00031531993003918916</v>
      </c>
      <c r="L241" s="2" t="n">
        <v>30.516799712070473</v>
      </c>
      <c r="M241" s="2" t="n">
        <v>0.6344702687539743</v>
      </c>
      <c r="N241" s="2" t="n">
        <v>0.6295318082332161</v>
      </c>
      <c r="O241" s="2" t="n">
        <v>5.198875</v>
      </c>
      <c r="P241" s="2" t="n">
        <v>3.298531618468318</v>
      </c>
      <c r="Q241" s="2" t="n">
        <v>28.056939</v>
      </c>
      <c r="R241" s="2" t="n">
        <v>11.294391552163058</v>
      </c>
      <c r="S241" s="2" t="n">
        <v>115.46471586732548</v>
      </c>
      <c r="T241" s="2" t="n">
        <v>181.98601503280008</v>
      </c>
      <c r="U241" s="2" t="n">
        <v>0.0005060241195822507</v>
      </c>
      <c r="V241" s="2" t="n">
        <v>24.956621090389095</v>
      </c>
      <c r="W241" s="2" t="n">
        <v>9.471598815931043e-05</v>
      </c>
      <c r="X241" s="2" t="n">
        <v>610.8036016855823</v>
      </c>
      <c r="Y241" s="2" t="n">
        <v>305.48467829503335</v>
      </c>
      <c r="Z241" s="2" t="n">
        <v>23.39789956566806</v>
      </c>
      <c r="AA241" s="2" t="n">
        <v>337.06632160748063</v>
      </c>
      <c r="AB241" s="2" t="n">
        <v>19.082563552830834</v>
      </c>
      <c r="AC241" s="2" t="n">
        <v>301.8183682390615</v>
      </c>
      <c r="AD241" s="2" t="n">
        <v>0.6072850838038454</v>
      </c>
      <c r="AE241" s="2" t="n">
        <v>329.8974539348614</v>
      </c>
      <c r="AF241" s="2" t="n">
        <v>338.508872726341</v>
      </c>
      <c r="AG241" s="2" t="n">
        <v>320.769786179454</v>
      </c>
      <c r="AH241" s="2" t="n">
        <v>17.739086546886995</v>
      </c>
      <c r="AI241" s="2" t="n">
        <v>5.362413658889624</v>
      </c>
      <c r="AJ241" s="2" t="n">
        <v>337.3135698720318</v>
      </c>
      <c r="AK241" s="2" t="n">
        <v>338.0717291340984</v>
      </c>
      <c r="AL241" s="2" t="n">
        <v>338.44459619807924</v>
      </c>
      <c r="AM241" s="2" t="n">
        <v>11863245039.203056</v>
      </c>
      <c r="AN241" s="2" t="n">
        <v>11844476077.760578</v>
      </c>
      <c r="AO241" s="2" t="n">
        <v>330.02806664765217</v>
      </c>
      <c r="AP241" s="2" t="n">
        <v>322.50430168998747</v>
      </c>
      <c r="AQ241" s="2" t="n">
        <v>2.761469110173708</v>
      </c>
      <c r="AR241" s="2" t="n">
        <v>15.475260444162684</v>
      </c>
      <c r="AS241" s="2" t="n">
        <v>2.4492584493399967</v>
      </c>
      <c r="AT241" s="2" t="n">
        <v>2.3011571032353952</v>
      </c>
      <c r="AU241" s="2" t="n">
        <v>312.565407017576</v>
      </c>
      <c r="AV241" s="2" t="n">
        <v>7.98601718088321e-11</v>
      </c>
      <c r="AW241" s="2" t="n">
        <v>-1.5264414077772557e-05</v>
      </c>
      <c r="AX241" s="2" t="n">
        <v>107</v>
      </c>
      <c r="AY241" s="2" t="n">
        <v>9.334387414128287e-07</v>
      </c>
      <c r="AZ241" s="2" t="s">
        <v>131</v>
      </c>
      <c r="BA241" s="2" t="n">
        <v>4.48</v>
      </c>
      <c r="BB241" s="2" t="s">
        <v>132</v>
      </c>
      <c r="BC241" s="2" t="n">
        <v>4</v>
      </c>
      <c r="BD241" s="2" t="s">
        <v>133</v>
      </c>
      <c r="BE241" s="2" t="n">
        <v>3000</v>
      </c>
      <c r="BF241" s="2" t="s">
        <v>134</v>
      </c>
      <c r="BG241" s="2" t="n">
        <v>120</v>
      </c>
    </row>
    <row r="242" customFormat="false" ht="15" hidden="false" customHeight="false" outlineLevel="0" collapsed="false">
      <c r="A242" s="2" t="s">
        <v>375</v>
      </c>
      <c r="B242" s="2" t="s">
        <v>128</v>
      </c>
      <c r="C242" s="2" t="s">
        <v>129</v>
      </c>
      <c r="D242" s="2" t="s">
        <v>285</v>
      </c>
      <c r="E242" s="2" t="n">
        <v>0</v>
      </c>
      <c r="F242" s="2" t="n">
        <v>599.4300317916748</v>
      </c>
      <c r="G242" s="2" t="n">
        <v>302.25041189361133</v>
      </c>
      <c r="H242" s="2" t="n">
        <v>283.38803806376586</v>
      </c>
      <c r="I242" s="2" t="n">
        <v>1.7133627806887644</v>
      </c>
      <c r="J242" s="2" t="n">
        <v>0.002605820229348092</v>
      </c>
      <c r="K242" s="2" t="n">
        <v>0.00021715168577900767</v>
      </c>
      <c r="L242" s="2" t="n">
        <v>27.28329748235987</v>
      </c>
      <c r="M242" s="2" t="n">
        <v>0.49400816152116134</v>
      </c>
      <c r="N242" s="2" t="n">
        <v>0.7716873631732212</v>
      </c>
      <c r="O242" s="2" t="n">
        <v>5.198875</v>
      </c>
      <c r="P242" s="2" t="n">
        <v>2.568286680728328</v>
      </c>
      <c r="Q242" s="2" t="n">
        <v>28.056939</v>
      </c>
      <c r="R242" s="2" t="n">
        <v>6.847129407126639</v>
      </c>
      <c r="S242" s="2" t="n">
        <v>58.22334829825579</v>
      </c>
      <c r="T242" s="2" t="n">
        <v>117.85908175883799</v>
      </c>
      <c r="U242" s="2" t="n">
        <v>0.0006910908065033428</v>
      </c>
      <c r="V242" s="2" t="n">
        <v>40.96304480736187</v>
      </c>
      <c r="W242" s="2" t="n">
        <v>0.00010706352137885243</v>
      </c>
      <c r="X242" s="2" t="n">
        <v>388.97434363984024</v>
      </c>
      <c r="Y242" s="2" t="n">
        <v>263.33667612264986</v>
      </c>
      <c r="Z242" s="2" t="n">
        <v>12.210778566617304</v>
      </c>
      <c r="AA242" s="2" t="n">
        <v>317.9510459185498</v>
      </c>
      <c r="AB242" s="2" t="n">
        <v>15.700634024938495</v>
      </c>
      <c r="AC242" s="2" t="n">
        <v>171.01646437914238</v>
      </c>
      <c r="AD242" s="2" t="n">
        <v>0.5403379906271644</v>
      </c>
      <c r="AE242" s="2" t="n">
        <v>311.67415922442615</v>
      </c>
      <c r="AF242" s="2" t="n">
        <v>318.6718060423776</v>
      </c>
      <c r="AG242" s="2" t="n">
        <v>304.15528424645095</v>
      </c>
      <c r="AH242" s="2" t="n">
        <v>14.516521795926678</v>
      </c>
      <c r="AI242" s="2" t="n">
        <v>4.416274452278362</v>
      </c>
      <c r="AJ242" s="2" t="n">
        <v>317.792306365215</v>
      </c>
      <c r="AK242" s="2" t="n">
        <v>318.3399058110104</v>
      </c>
      <c r="AL242" s="2" t="n">
        <v>318.6290639647282</v>
      </c>
      <c r="AM242" s="2" t="n">
        <v>9447692868.26094</v>
      </c>
      <c r="AN242" s="2" t="n">
        <v>9436331435.919767</v>
      </c>
      <c r="AO242" s="2" t="n">
        <v>311.76793155573876</v>
      </c>
      <c r="AP242" s="2" t="n">
        <v>205.37845344183566</v>
      </c>
      <c r="AQ242" s="2" t="n">
        <v>3.7286377310859193</v>
      </c>
      <c r="AR242" s="2" t="n">
        <v>26.564157912970334</v>
      </c>
      <c r="AS242" s="2" t="n">
        <v>4.069237903722364</v>
      </c>
      <c r="AT242" s="2" t="n">
        <v>2.300758183503103</v>
      </c>
      <c r="AU242" s="2" t="n">
        <v>281.9227225408874</v>
      </c>
      <c r="AV242" s="2" t="n">
        <v>8.532737183486462e-11</v>
      </c>
      <c r="AW242" s="2" t="n">
        <v>-2.2168747753620838e-05</v>
      </c>
      <c r="AX242" s="2" t="n">
        <v>140</v>
      </c>
      <c r="AY242" s="2" t="n">
        <v>8.95559992386552e-07</v>
      </c>
      <c r="AZ242" s="2" t="s">
        <v>131</v>
      </c>
      <c r="BA242" s="2" t="n">
        <v>4.48</v>
      </c>
      <c r="BB242" s="2" t="s">
        <v>132</v>
      </c>
      <c r="BC242" s="2" t="n">
        <v>4</v>
      </c>
      <c r="BD242" s="2" t="s">
        <v>133</v>
      </c>
      <c r="BE242" s="2" t="n">
        <v>3000</v>
      </c>
      <c r="BF242" s="2" t="s">
        <v>134</v>
      </c>
      <c r="BG242" s="2" t="n">
        <v>120</v>
      </c>
    </row>
    <row r="243" customFormat="false" ht="15" hidden="false" customHeight="false" outlineLevel="0" collapsed="false">
      <c r="A243" s="2" t="s">
        <v>376</v>
      </c>
      <c r="B243" s="2" t="s">
        <v>128</v>
      </c>
      <c r="C243" s="2" t="s">
        <v>129</v>
      </c>
      <c r="D243" s="2" t="s">
        <v>285</v>
      </c>
      <c r="E243" s="2" t="n">
        <v>0</v>
      </c>
      <c r="F243" s="2" t="n">
        <v>982.5815729841491</v>
      </c>
      <c r="G243" s="2" t="n">
        <v>319.70282127600217</v>
      </c>
      <c r="H243" s="2" t="n">
        <v>304.6887759454855</v>
      </c>
      <c r="I243" s="2" t="n">
        <v>3.41107781356413</v>
      </c>
      <c r="J243" s="2" t="n">
        <v>0.001938766633883145</v>
      </c>
      <c r="K243" s="2" t="n">
        <v>0.00016156388615692875</v>
      </c>
      <c r="L243" s="2" t="n">
        <v>33.42419824332431</v>
      </c>
      <c r="M243" s="2" t="n">
        <v>0.6719359633417465</v>
      </c>
      <c r="N243" s="2" t="n">
        <v>1.0494231994743561</v>
      </c>
      <c r="O243" s="2" t="n">
        <v>5.198875</v>
      </c>
      <c r="P243" s="2" t="n">
        <v>3.493311081418323</v>
      </c>
      <c r="Q243" s="2" t="n">
        <v>28.056939</v>
      </c>
      <c r="R243" s="2" t="n">
        <v>12.66765012843518</v>
      </c>
      <c r="S243" s="2" t="n">
        <v>69.30637866263194</v>
      </c>
      <c r="T243" s="2" t="n">
        <v>103.1443209527732</v>
      </c>
      <c r="U243" s="2" t="n">
        <v>0.0004319566569868161</v>
      </c>
      <c r="V243" s="2" t="n">
        <v>7.901903384293094</v>
      </c>
      <c r="W243" s="2" t="n">
        <v>1.53660447599155e-05</v>
      </c>
      <c r="X243" s="2" t="n">
        <v>637.6040607804252</v>
      </c>
      <c r="Y243" s="2" t="n">
        <v>293.5781719196401</v>
      </c>
      <c r="Z243" s="2" t="n">
        <v>18.662095691543694</v>
      </c>
      <c r="AA243" s="2" t="n">
        <v>355.9321206748988</v>
      </c>
      <c r="AB243" s="2" t="n">
        <v>36.229299398896615</v>
      </c>
      <c r="AC243" s="2" t="n">
        <v>293.6038556060115</v>
      </c>
      <c r="AD243" s="2" t="n">
        <v>0.565925439305678</v>
      </c>
      <c r="AE243" s="2" t="n">
        <v>340.99920414213426</v>
      </c>
      <c r="AF243" s="2" t="n">
        <v>356.89589266228023</v>
      </c>
      <c r="AG243" s="2" t="n">
        <v>323.53153946618556</v>
      </c>
      <c r="AH243" s="2" t="n">
        <v>33.36435319609467</v>
      </c>
      <c r="AI243" s="2" t="n">
        <v>10.145015983669852</v>
      </c>
      <c r="AJ243" s="2" t="n">
        <v>354.96554120066503</v>
      </c>
      <c r="AK243" s="2" t="n">
        <v>356.2125563625067</v>
      </c>
      <c r="AL243" s="2" t="n">
        <v>356.8071010383377</v>
      </c>
      <c r="AM243" s="2" t="n">
        <v>13592865712.175606</v>
      </c>
      <c r="AN243" s="2" t="n">
        <v>13521144732.587372</v>
      </c>
      <c r="AO243" s="2" t="n">
        <v>341.45050282243307</v>
      </c>
      <c r="AP243" s="2" t="n">
        <v>336.65494409206457</v>
      </c>
      <c r="AQ243" s="2" t="n">
        <v>5.856599274253488</v>
      </c>
      <c r="AR243" s="2" t="n">
        <v>31.970923445011678</v>
      </c>
      <c r="AS243" s="2" t="n">
        <v>5.223613724871119</v>
      </c>
      <c r="AT243" s="2" t="n">
        <v>2.245529906563641</v>
      </c>
      <c r="AU243" s="2" t="n">
        <v>305.1922755843084</v>
      </c>
      <c r="AV243" s="2" t="n">
        <v>8.571788612243837e-11</v>
      </c>
      <c r="AW243" s="2" t="n">
        <v>-1.5148929432922133e-05</v>
      </c>
      <c r="AX243" s="2" t="n">
        <v>180</v>
      </c>
      <c r="AY243" s="2" t="n">
        <v>9.342685984847776e-07</v>
      </c>
      <c r="AZ243" s="2" t="s">
        <v>131</v>
      </c>
      <c r="BA243" s="2" t="n">
        <v>4.48</v>
      </c>
      <c r="BB243" s="2" t="s">
        <v>132</v>
      </c>
      <c r="BC243" s="2" t="n">
        <v>4</v>
      </c>
      <c r="BD243" s="2" t="s">
        <v>133</v>
      </c>
      <c r="BE243" s="2" t="n">
        <v>3000</v>
      </c>
      <c r="BF243" s="2" t="s">
        <v>134</v>
      </c>
      <c r="BG243" s="2" t="n">
        <v>120</v>
      </c>
    </row>
    <row r="244" customFormat="false" ht="15" hidden="false" customHeight="false" outlineLevel="0" collapsed="false">
      <c r="A244" s="2" t="s">
        <v>377</v>
      </c>
      <c r="B244" s="2" t="s">
        <v>128</v>
      </c>
      <c r="C244" s="2" t="s">
        <v>129</v>
      </c>
      <c r="D244" s="2" t="s">
        <v>285</v>
      </c>
      <c r="E244" s="2" t="n">
        <v>0</v>
      </c>
      <c r="F244" s="2" t="n">
        <v>443.2015252083547</v>
      </c>
      <c r="G244" s="2" t="n">
        <v>315.43389663494753</v>
      </c>
      <c r="H244" s="2" t="n">
        <v>298.37674792361594</v>
      </c>
      <c r="I244" s="2" t="n">
        <v>2.34674717516609</v>
      </c>
      <c r="J244" s="2" t="n">
        <v>0.0037152018913416945</v>
      </c>
      <c r="K244" s="2" t="n">
        <v>0.00030960015761180787</v>
      </c>
      <c r="L244" s="2" t="n">
        <v>30.019483388556928</v>
      </c>
      <c r="M244" s="2" t="n">
        <v>0.6932035729264499</v>
      </c>
      <c r="N244" s="2" t="n">
        <v>1.0903687325342892</v>
      </c>
      <c r="O244" s="2" t="n">
        <v>5.198875</v>
      </c>
      <c r="P244" s="2" t="n">
        <v>3.603878725197997</v>
      </c>
      <c r="Q244" s="2" t="n">
        <v>28.056939</v>
      </c>
      <c r="R244" s="2" t="n">
        <v>13.482234384131607</v>
      </c>
      <c r="S244" s="2" t="n">
        <v>98.8612808937319</v>
      </c>
      <c r="T244" s="2" t="n">
        <v>142.6150769482852</v>
      </c>
      <c r="U244" s="2" t="n">
        <v>0.0005802885850994248</v>
      </c>
      <c r="V244" s="2" t="n">
        <v>18.750672147777465</v>
      </c>
      <c r="W244" s="2" t="n">
        <v>6.98721490745746e-05</v>
      </c>
      <c r="X244" s="2" t="n">
        <v>287.59657211837776</v>
      </c>
      <c r="Y244" s="2" t="n">
        <v>284.50279804644424</v>
      </c>
      <c r="Z244" s="2" t="n">
        <v>14.617639265631144</v>
      </c>
      <c r="AA244" s="2" t="n">
        <v>323.46194322326045</v>
      </c>
      <c r="AB244" s="2" t="n">
        <v>8.028046588312918</v>
      </c>
      <c r="AC244" s="2" t="n">
        <v>124.67190197107983</v>
      </c>
      <c r="AD244" s="2" t="n">
        <v>0.532762215448999</v>
      </c>
      <c r="AE244" s="2" t="n">
        <v>320.43979259128497</v>
      </c>
      <c r="AF244" s="2" t="n">
        <v>324.07001562418174</v>
      </c>
      <c r="AG244" s="2" t="n">
        <v>316.5940156864713</v>
      </c>
      <c r="AH244" s="2" t="n">
        <v>7.475999937710412</v>
      </c>
      <c r="AI244" s="2" t="n">
        <v>2.2639624714398736</v>
      </c>
      <c r="AJ244" s="2" t="n">
        <v>323.5703065595198</v>
      </c>
      <c r="AK244" s="2" t="n">
        <v>323.8894090752734</v>
      </c>
      <c r="AL244" s="2" t="n">
        <v>324.0430418083882</v>
      </c>
      <c r="AM244" s="2" t="n">
        <v>10546680352.289707</v>
      </c>
      <c r="AN244" s="2" t="n">
        <v>10543523439.17006</v>
      </c>
      <c r="AO244" s="2" t="n">
        <v>320.46377620138804</v>
      </c>
      <c r="AP244" s="2" t="n">
        <v>151.85099007850346</v>
      </c>
      <c r="AQ244" s="2" t="n">
        <v>3.2675956933228094</v>
      </c>
      <c r="AR244" s="2" t="n">
        <v>20.737559216910306</v>
      </c>
      <c r="AS244" s="2" t="n">
        <v>3.1739868864756957</v>
      </c>
      <c r="AT244" s="2" t="n">
        <v>2.3331116096334177</v>
      </c>
      <c r="AU244" s="2" t="n">
        <v>297.21405428501635</v>
      </c>
      <c r="AV244" s="2" t="n">
        <v>8.871182899383713e-11</v>
      </c>
      <c r="AW244" s="2" t="n">
        <v>-3.2327431547124964e-05</v>
      </c>
      <c r="AX244" s="2" t="n">
        <v>109</v>
      </c>
      <c r="AY244" s="2" t="n">
        <v>9.443575663681258e-07</v>
      </c>
      <c r="AZ244" s="2" t="s">
        <v>131</v>
      </c>
      <c r="BA244" s="2" t="n">
        <v>4.48</v>
      </c>
      <c r="BB244" s="2" t="s">
        <v>132</v>
      </c>
      <c r="BC244" s="2" t="n">
        <v>4</v>
      </c>
      <c r="BD244" s="2" t="s">
        <v>133</v>
      </c>
      <c r="BE244" s="2" t="n">
        <v>3000</v>
      </c>
      <c r="BF244" s="2" t="s">
        <v>134</v>
      </c>
      <c r="BG244" s="2" t="n">
        <v>120</v>
      </c>
    </row>
    <row r="245" customFormat="false" ht="15" hidden="false" customHeight="false" outlineLevel="0" collapsed="false">
      <c r="A245" s="2" t="s">
        <v>378</v>
      </c>
      <c r="B245" s="2" t="s">
        <v>128</v>
      </c>
      <c r="C245" s="2" t="s">
        <v>129</v>
      </c>
      <c r="D245" s="2" t="s">
        <v>285</v>
      </c>
      <c r="E245" s="2" t="n">
        <v>0</v>
      </c>
      <c r="F245" s="2" t="n">
        <v>604.0085123416559</v>
      </c>
      <c r="G245" s="2" t="n">
        <v>312.50178100167483</v>
      </c>
      <c r="H245" s="2" t="n">
        <v>294.9214320384538</v>
      </c>
      <c r="I245" s="2" t="n">
        <v>0.23539236546438436</v>
      </c>
      <c r="J245" s="2" t="n">
        <v>0.0044571787201553355</v>
      </c>
      <c r="K245" s="2" t="n">
        <v>0.00037143156001294463</v>
      </c>
      <c r="L245" s="2" t="n">
        <v>22.453050038987403</v>
      </c>
      <c r="M245" s="2" t="n">
        <v>0.6506103277162673</v>
      </c>
      <c r="N245" s="2" t="n">
        <v>1.6676524171734244</v>
      </c>
      <c r="O245" s="2" t="n">
        <v>5.198875</v>
      </c>
      <c r="P245" s="2" t="n">
        <v>3.382441767505909</v>
      </c>
      <c r="Q245" s="2" t="n">
        <v>28.056939</v>
      </c>
      <c r="R245" s="2" t="n">
        <v>11.876328284464483</v>
      </c>
      <c r="S245" s="2" t="n">
        <v>114.03398054525846</v>
      </c>
      <c r="T245" s="2" t="n">
        <v>175.27231844833076</v>
      </c>
      <c r="U245" s="2" t="n">
        <v>0.000603550488260647</v>
      </c>
      <c r="V245" s="2" t="n">
        <v>22.91892143887535</v>
      </c>
      <c r="W245" s="2" t="n">
        <v>0.00010246111226305628</v>
      </c>
      <c r="X245" s="2" t="n">
        <v>391.94535171808684</v>
      </c>
      <c r="Y245" s="2" t="n">
        <v>279.5751578418846</v>
      </c>
      <c r="Z245" s="2" t="n">
        <v>6.594490988764661</v>
      </c>
      <c r="AA245" s="2" t="n">
        <v>322.0118134218108</v>
      </c>
      <c r="AB245" s="2" t="n">
        <v>9.510032420135985</v>
      </c>
      <c r="AC245" s="2" t="n">
        <v>177.18148106765298</v>
      </c>
      <c r="AD245" s="2" t="n">
        <v>0.5555732742401154</v>
      </c>
      <c r="AE245" s="2" t="n">
        <v>318.57941353552474</v>
      </c>
      <c r="AF245" s="2" t="n">
        <v>322.91113377829845</v>
      </c>
      <c r="AG245" s="2" t="n">
        <v>314.04805653860143</v>
      </c>
      <c r="AH245" s="2" t="n">
        <v>8.86307723969702</v>
      </c>
      <c r="AI245" s="2" t="n">
        <v>2.682035510282952</v>
      </c>
      <c r="AJ245" s="2" t="n">
        <v>322.28825591800063</v>
      </c>
      <c r="AK245" s="2" t="n">
        <v>322.68589455147065</v>
      </c>
      <c r="AL245" s="2" t="n">
        <v>322.87556234011765</v>
      </c>
      <c r="AM245" s="2" t="n">
        <v>10305176400.363882</v>
      </c>
      <c r="AN245" s="2" t="n">
        <v>10300797125.140226</v>
      </c>
      <c r="AO245" s="2" t="n">
        <v>318.6132683077856</v>
      </c>
      <c r="AP245" s="2" t="n">
        <v>206.94714570714987</v>
      </c>
      <c r="AQ245" s="2" t="n">
        <v>3.4991233237671473</v>
      </c>
      <c r="AR245" s="2" t="n">
        <v>22.86315529913101</v>
      </c>
      <c r="AS245" s="2" t="n">
        <v>3.4034343021670064</v>
      </c>
      <c r="AT245" s="2" t="n">
        <v>2.382889886633467</v>
      </c>
      <c r="AU245" s="2" t="n">
        <v>292.9730412388185</v>
      </c>
      <c r="AV245" s="2" t="n">
        <v>9.4634629022039e-11</v>
      </c>
      <c r="AW245" s="2" t="n">
        <v>-2.4556851960364866e-05</v>
      </c>
      <c r="AX245" s="2" t="n">
        <v>95</v>
      </c>
      <c r="AY245" s="2" t="n">
        <v>9.551537232255214e-07</v>
      </c>
      <c r="AZ245" s="2" t="s">
        <v>131</v>
      </c>
      <c r="BA245" s="2" t="n">
        <v>4.48</v>
      </c>
      <c r="BB245" s="2" t="s">
        <v>132</v>
      </c>
      <c r="BC245" s="2" t="n">
        <v>4</v>
      </c>
      <c r="BD245" s="2" t="s">
        <v>133</v>
      </c>
      <c r="BE245" s="2" t="n">
        <v>3000</v>
      </c>
      <c r="BF245" s="2" t="s">
        <v>134</v>
      </c>
      <c r="BG245" s="2" t="n">
        <v>120</v>
      </c>
    </row>
    <row r="246" customFormat="false" ht="15" hidden="false" customHeight="false" outlineLevel="0" collapsed="false">
      <c r="A246" s="2" t="s">
        <v>379</v>
      </c>
      <c r="B246" s="2" t="s">
        <v>128</v>
      </c>
      <c r="C246" s="2" t="s">
        <v>129</v>
      </c>
      <c r="D246" s="2" t="s">
        <v>285</v>
      </c>
      <c r="E246" s="2" t="n">
        <v>0</v>
      </c>
      <c r="F246" s="2" t="n">
        <v>718.5413119211787</v>
      </c>
      <c r="G246" s="2" t="n">
        <v>293.0911658055025</v>
      </c>
      <c r="H246" s="2" t="n">
        <v>284.7025441345629</v>
      </c>
      <c r="I246" s="2" t="n">
        <v>3.147955923560219</v>
      </c>
      <c r="J246" s="2" t="n">
        <v>0.00346399169049364</v>
      </c>
      <c r="K246" s="2" t="n">
        <v>0.00028866597420780336</v>
      </c>
      <c r="L246" s="2" t="n">
        <v>21.100348898067445</v>
      </c>
      <c r="M246" s="2" t="n">
        <v>0.4141529347669638</v>
      </c>
      <c r="N246" s="2" t="n">
        <v>0.5470594587262835</v>
      </c>
      <c r="O246" s="2" t="n">
        <v>5.198875</v>
      </c>
      <c r="P246" s="2" t="n">
        <v>2.153129338736599</v>
      </c>
      <c r="Q246" s="2" t="n">
        <v>28.056939</v>
      </c>
      <c r="R246" s="2" t="n">
        <v>4.812400622891073</v>
      </c>
      <c r="S246" s="2" t="n">
        <v>63.75880952400806</v>
      </c>
      <c r="T246" s="2" t="n">
        <v>153.94991601323304</v>
      </c>
      <c r="U246" s="2" t="n">
        <v>0.0008389276020028486</v>
      </c>
      <c r="V246" s="2" t="n">
        <v>128.62674889151745</v>
      </c>
      <c r="W246" s="2" t="n">
        <v>0.00044690269742771166</v>
      </c>
      <c r="X246" s="2" t="n">
        <v>466.2664870948362</v>
      </c>
      <c r="Y246" s="2" t="n">
        <v>265.1710448295948</v>
      </c>
      <c r="Z246" s="2" t="n">
        <v>17.66223250952883</v>
      </c>
      <c r="AA246" s="2" t="n">
        <v>308.5233290266287</v>
      </c>
      <c r="AB246" s="2" t="n">
        <v>15.432163221126189</v>
      </c>
      <c r="AC246" s="2" t="n">
        <v>223.44977998686883</v>
      </c>
      <c r="AD246" s="2" t="n">
        <v>0.5889714813372411</v>
      </c>
      <c r="AE246" s="2" t="n">
        <v>302.6637368013363</v>
      </c>
      <c r="AF246" s="2" t="n">
        <v>309.624316716369</v>
      </c>
      <c r="AG246" s="2" t="n">
        <v>295.32702470077936</v>
      </c>
      <c r="AH246" s="2" t="n">
        <v>14.297292015589619</v>
      </c>
      <c r="AI246" s="2" t="n">
        <v>4.34299919379979</v>
      </c>
      <c r="AJ246" s="2" t="n">
        <v>308.67687793142613</v>
      </c>
      <c r="AK246" s="2" t="n">
        <v>309.28149989499906</v>
      </c>
      <c r="AL246" s="2" t="n">
        <v>309.5712746652668</v>
      </c>
      <c r="AM246" s="2" t="n">
        <v>8401900765.232814</v>
      </c>
      <c r="AN246" s="2" t="n">
        <v>8391537872.147002</v>
      </c>
      <c r="AO246" s="2" t="n">
        <v>302.7571350720715</v>
      </c>
      <c r="AP246" s="2" t="n">
        <v>246.18870518607352</v>
      </c>
      <c r="AQ246" s="2" t="n">
        <v>2.3922399131623537</v>
      </c>
      <c r="AR246" s="2" t="n">
        <v>17.762829213331866</v>
      </c>
      <c r="AS246" s="2" t="n">
        <v>2.5838949632070563</v>
      </c>
      <c r="AT246" s="2" t="n">
        <v>2.3977331021165122</v>
      </c>
      <c r="AU246" s="2" t="n">
        <v>282.7696490462367</v>
      </c>
      <c r="AV246" s="2" t="n">
        <v>7.979508609423647e-11</v>
      </c>
      <c r="AW246" s="2" t="n">
        <v>-1.7692604854768708e-05</v>
      </c>
      <c r="AX246" s="2" t="n">
        <v>110</v>
      </c>
      <c r="AY246" s="2" t="n">
        <v>8.618351898803667e-07</v>
      </c>
      <c r="AZ246" s="2" t="s">
        <v>131</v>
      </c>
      <c r="BA246" s="2" t="n">
        <v>4.48</v>
      </c>
      <c r="BB246" s="2" t="s">
        <v>132</v>
      </c>
      <c r="BC246" s="2" t="n">
        <v>4</v>
      </c>
      <c r="BD246" s="2" t="s">
        <v>133</v>
      </c>
      <c r="BE246" s="2" t="n">
        <v>3000</v>
      </c>
      <c r="BF246" s="2" t="s">
        <v>134</v>
      </c>
      <c r="BG246" s="2" t="n">
        <v>120</v>
      </c>
    </row>
    <row r="247" customFormat="false" ht="15" hidden="false" customHeight="false" outlineLevel="0" collapsed="false">
      <c r="A247" s="2" t="s">
        <v>380</v>
      </c>
      <c r="B247" s="2" t="s">
        <v>128</v>
      </c>
      <c r="C247" s="2" t="s">
        <v>129</v>
      </c>
      <c r="D247" s="2" t="s">
        <v>285</v>
      </c>
      <c r="E247" s="2" t="n">
        <v>0</v>
      </c>
      <c r="F247" s="2" t="n">
        <v>780.6350462867874</v>
      </c>
      <c r="G247" s="2" t="n">
        <v>301.69141932713376</v>
      </c>
      <c r="H247" s="2" t="n">
        <v>287.6973301068561</v>
      </c>
      <c r="I247" s="2" t="n">
        <v>3.612136227905847</v>
      </c>
      <c r="J247" s="2" t="n">
        <v>0.00327364687246849</v>
      </c>
      <c r="K247" s="2" t="n">
        <v>0.00027280390603904084</v>
      </c>
      <c r="L247" s="2" t="n">
        <v>22.585423296696675</v>
      </c>
      <c r="M247" s="2" t="n">
        <v>0.5631531160074799</v>
      </c>
      <c r="N247" s="2" t="n">
        <v>1.156892563528909</v>
      </c>
      <c r="O247" s="2" t="n">
        <v>5.198875</v>
      </c>
      <c r="P247" s="2" t="n">
        <v>2.927762655983387</v>
      </c>
      <c r="Q247" s="2" t="n">
        <v>28.056939</v>
      </c>
      <c r="R247" s="2" t="n">
        <v>8.898017813930727</v>
      </c>
      <c r="S247" s="2" t="n">
        <v>73.53423680143942</v>
      </c>
      <c r="T247" s="2" t="n">
        <v>130.57592102617917</v>
      </c>
      <c r="U247" s="2" t="n">
        <v>0.0006874325348235484</v>
      </c>
      <c r="V247" s="2" t="n">
        <v>30.314024074288493</v>
      </c>
      <c r="W247" s="2" t="n">
        <v>9.953601815720064e-05</v>
      </c>
      <c r="X247" s="2" t="n">
        <v>506.55954598082025</v>
      </c>
      <c r="Y247" s="2" t="n">
        <v>269.36602969811656</v>
      </c>
      <c r="Z247" s="2" t="n">
        <v>19.42611766604222</v>
      </c>
      <c r="AA247" s="2" t="n">
        <v>319.0489035293334</v>
      </c>
      <c r="AB247" s="2" t="n">
        <v>17.357484202199657</v>
      </c>
      <c r="AC247" s="2" t="n">
        <v>237.51710478684996</v>
      </c>
      <c r="AD247" s="2" t="n">
        <v>0.5762526338395831</v>
      </c>
      <c r="AE247" s="2" t="n">
        <v>312.33359324741275</v>
      </c>
      <c r="AF247" s="2" t="n">
        <v>320.14074796727954</v>
      </c>
      <c r="AG247" s="2" t="n">
        <v>304.06844494080866</v>
      </c>
      <c r="AH247" s="2" t="n">
        <v>16.072303026470877</v>
      </c>
      <c r="AI247" s="2" t="n">
        <v>4.879480784054504</v>
      </c>
      <c r="AJ247" s="2" t="n">
        <v>319.11584553874076</v>
      </c>
      <c r="AK247" s="2" t="n">
        <v>319.7341594698149</v>
      </c>
      <c r="AL247" s="2" t="n">
        <v>320.07771630532517</v>
      </c>
      <c r="AM247" s="2" t="n">
        <v>9530375721.35122</v>
      </c>
      <c r="AN247" s="2" t="n">
        <v>9516446059.329607</v>
      </c>
      <c r="AO247" s="2" t="n">
        <v>312.4478248439784</v>
      </c>
      <c r="AP247" s="2" t="n">
        <v>267.4634402778731</v>
      </c>
      <c r="AQ247" s="2" t="n">
        <v>3.3275614673889713</v>
      </c>
      <c r="AR247" s="2" t="n">
        <v>23.074643202811558</v>
      </c>
      <c r="AS247" s="2" t="n">
        <v>3.544169778819214</v>
      </c>
      <c r="AT247" s="2" t="n">
        <v>2.302156953227464</v>
      </c>
      <c r="AU247" s="2" t="n">
        <v>286.49035784379754</v>
      </c>
      <c r="AV247" s="2" t="n">
        <v>8.884200042302835e-11</v>
      </c>
      <c r="AW247" s="2" t="n">
        <v>-1.670071567966663e-05</v>
      </c>
      <c r="AX247" s="2" t="n">
        <v>116</v>
      </c>
      <c r="AY247" s="2" t="n">
        <v>8.760766831983346e-07</v>
      </c>
      <c r="AZ247" s="2" t="s">
        <v>131</v>
      </c>
      <c r="BA247" s="2" t="n">
        <v>4.48</v>
      </c>
      <c r="BB247" s="2" t="s">
        <v>132</v>
      </c>
      <c r="BC247" s="2" t="n">
        <v>4</v>
      </c>
      <c r="BD247" s="2" t="s">
        <v>133</v>
      </c>
      <c r="BE247" s="2" t="n">
        <v>3000</v>
      </c>
      <c r="BF247" s="2" t="s">
        <v>134</v>
      </c>
      <c r="BG247" s="2" t="n">
        <v>120</v>
      </c>
    </row>
    <row r="248" customFormat="false" ht="15" hidden="false" customHeight="false" outlineLevel="0" collapsed="false">
      <c r="A248" s="2" t="s">
        <v>381</v>
      </c>
      <c r="B248" s="2" t="s">
        <v>128</v>
      </c>
      <c r="C248" s="2" t="s">
        <v>129</v>
      </c>
      <c r="D248" s="2" t="s">
        <v>285</v>
      </c>
      <c r="E248" s="2" t="n">
        <v>0</v>
      </c>
      <c r="F248" s="2" t="n">
        <v>544.3926230532685</v>
      </c>
      <c r="G248" s="2" t="n">
        <v>294.9655547888966</v>
      </c>
      <c r="H248" s="2" t="n">
        <v>292.7471677050869</v>
      </c>
      <c r="I248" s="2" t="n">
        <v>2.5657500066625345</v>
      </c>
      <c r="J248" s="2" t="n">
        <v>0.0029977182616669176</v>
      </c>
      <c r="K248" s="2" t="n">
        <v>0.0002498098551389098</v>
      </c>
      <c r="L248" s="2" t="n">
        <v>24.117809707756056</v>
      </c>
      <c r="M248" s="2" t="n">
        <v>0.6089890768827295</v>
      </c>
      <c r="N248" s="2" t="n">
        <v>1.6449495895598656</v>
      </c>
      <c r="O248" s="2" t="n">
        <v>5.198875</v>
      </c>
      <c r="P248" s="2" t="n">
        <v>3.1660580870787007</v>
      </c>
      <c r="Q248" s="2" t="n">
        <v>28.056939</v>
      </c>
      <c r="R248" s="2" t="n">
        <v>10.405412317078431</v>
      </c>
      <c r="S248" s="2" t="n">
        <v>56.41457090344676</v>
      </c>
      <c r="T248" s="2" t="n">
        <v>92.63642492935925</v>
      </c>
      <c r="U248" s="2" t="n">
        <v>0.0008205165890087161</v>
      </c>
      <c r="V248" s="2" t="n">
        <v>23.936413626732982</v>
      </c>
      <c r="W248" s="2" t="n">
        <v>7.197053585523603e-05</v>
      </c>
      <c r="X248" s="2" t="n">
        <v>353.2601838476273</v>
      </c>
      <c r="Y248" s="2" t="n">
        <v>276.4891737989702</v>
      </c>
      <c r="Z248" s="2" t="n">
        <v>15.44985002531763</v>
      </c>
      <c r="AA248" s="2" t="n">
        <v>308.67294475204375</v>
      </c>
      <c r="AB248" s="2" t="n">
        <v>13.707389963147136</v>
      </c>
      <c r="AC248" s="2" t="n">
        <v>171.75993362748085</v>
      </c>
      <c r="AD248" s="2" t="n">
        <v>0.5975520071763921</v>
      </c>
      <c r="AE248" s="2" t="n">
        <v>303.309888499285</v>
      </c>
      <c r="AF248" s="2" t="n">
        <v>309.4528693882088</v>
      </c>
      <c r="AG248" s="2" t="n">
        <v>296.7793709226033</v>
      </c>
      <c r="AH248" s="2" t="n">
        <v>12.673498465605519</v>
      </c>
      <c r="AI248" s="2" t="n">
        <v>3.8507899196819473</v>
      </c>
      <c r="AJ248" s="2" t="n">
        <v>308.6623354591403</v>
      </c>
      <c r="AK248" s="2" t="n">
        <v>309.1399484247038</v>
      </c>
      <c r="AL248" s="2" t="n">
        <v>309.40219068949216</v>
      </c>
      <c r="AM248" s="2" t="n">
        <v>8471609175.131622</v>
      </c>
      <c r="AN248" s="2" t="n">
        <v>8463427486.588235</v>
      </c>
      <c r="AO248" s="2" t="n">
        <v>303.38316519286343</v>
      </c>
      <c r="AP248" s="2" t="n">
        <v>186.52137707154722</v>
      </c>
      <c r="AQ248" s="2" t="n">
        <v>1.6304951193268844</v>
      </c>
      <c r="AR248" s="2" t="n">
        <v>11.611434072144027</v>
      </c>
      <c r="AS248" s="2" t="n">
        <v>1.5195517115286308</v>
      </c>
      <c r="AT248" s="2" t="n">
        <v>2.646787678557401</v>
      </c>
      <c r="AU248" s="2" t="n">
        <v>290.30526600252585</v>
      </c>
      <c r="AV248" s="2" t="n">
        <v>8.66290861267771e-11</v>
      </c>
      <c r="AW248" s="2" t="n">
        <v>-2.3654170192212094e-05</v>
      </c>
      <c r="AX248" s="2" t="n">
        <v>123</v>
      </c>
      <c r="AY248" s="2" t="n">
        <v>8.803784794508829e-07</v>
      </c>
      <c r="AZ248" s="2" t="s">
        <v>131</v>
      </c>
      <c r="BA248" s="2" t="n">
        <v>4.48</v>
      </c>
      <c r="BB248" s="2" t="s">
        <v>132</v>
      </c>
      <c r="BC248" s="2" t="n">
        <v>4</v>
      </c>
      <c r="BD248" s="2" t="s">
        <v>133</v>
      </c>
      <c r="BE248" s="2" t="n">
        <v>3000</v>
      </c>
      <c r="BF248" s="2" t="s">
        <v>134</v>
      </c>
      <c r="BG248" s="2" t="n">
        <v>120</v>
      </c>
    </row>
    <row r="249" customFormat="false" ht="15" hidden="false" customHeight="false" outlineLevel="0" collapsed="false">
      <c r="A249" s="2" t="s">
        <v>382</v>
      </c>
      <c r="B249" s="2" t="s">
        <v>128</v>
      </c>
      <c r="C249" s="2" t="s">
        <v>129</v>
      </c>
      <c r="D249" s="2" t="s">
        <v>285</v>
      </c>
      <c r="E249" s="2" t="n">
        <v>0</v>
      </c>
      <c r="F249" s="2" t="n">
        <v>541.7312859970295</v>
      </c>
      <c r="G249" s="2" t="n">
        <v>318.52929317080054</v>
      </c>
      <c r="H249" s="2" t="n">
        <v>293.19699593611915</v>
      </c>
      <c r="I249" s="2" t="n">
        <v>4.314126984962071</v>
      </c>
      <c r="J249" s="2" t="n">
        <v>0.0012869744447284253</v>
      </c>
      <c r="K249" s="2" t="n">
        <v>0.00010724787039403544</v>
      </c>
      <c r="L249" s="2" t="n">
        <v>24.281296211934155</v>
      </c>
      <c r="M249" s="2" t="n">
        <v>0.6107488358733526</v>
      </c>
      <c r="N249" s="2" t="n">
        <v>0.857788209843899</v>
      </c>
      <c r="O249" s="2" t="n">
        <v>5.198875</v>
      </c>
      <c r="P249" s="2" t="n">
        <v>3.1752068541010763</v>
      </c>
      <c r="Q249" s="2" t="n">
        <v>28.056939</v>
      </c>
      <c r="R249" s="2" t="n">
        <v>10.465634986725457</v>
      </c>
      <c r="S249" s="2" t="n">
        <v>41.73385582724395</v>
      </c>
      <c r="T249" s="2" t="n">
        <v>68.33227241041857</v>
      </c>
      <c r="U249" s="2" t="n">
        <v>0.00047617791973954114</v>
      </c>
      <c r="V249" s="2" t="n">
        <v>7.797344392357325</v>
      </c>
      <c r="W249" s="2" t="n">
        <v>1.0065178505226047e-05</v>
      </c>
      <c r="X249" s="2" t="n">
        <v>351.5332236024744</v>
      </c>
      <c r="Y249" s="2" t="n">
        <v>277.12668842478536</v>
      </c>
      <c r="Z249" s="2" t="n">
        <v>22.093682542855866</v>
      </c>
      <c r="AA249" s="2" t="n">
        <v>344.17432777827287</v>
      </c>
      <c r="AB249" s="2" t="n">
        <v>25.645034607472326</v>
      </c>
      <c r="AC249" s="2" t="n">
        <v>137.95882744729053</v>
      </c>
      <c r="AD249" s="2" t="n">
        <v>0.4823159835844214</v>
      </c>
      <c r="AE249" s="2" t="n">
        <v>333.56123372420706</v>
      </c>
      <c r="AF249" s="2" t="n">
        <v>344.4973589176271</v>
      </c>
      <c r="AG249" s="2" t="n">
        <v>321.06047070585515</v>
      </c>
      <c r="AH249" s="2" t="n">
        <v>23.43688821177193</v>
      </c>
      <c r="AI249" s="2" t="n">
        <v>7.1446191052413575</v>
      </c>
      <c r="AJ249" s="2" t="n">
        <v>343.295250449618</v>
      </c>
      <c r="AK249" s="2" t="n">
        <v>344.0738493092895</v>
      </c>
      <c r="AL249" s="2" t="n">
        <v>344.44810589184794</v>
      </c>
      <c r="AM249" s="2" t="n">
        <v>12413504755.851772</v>
      </c>
      <c r="AN249" s="2" t="n">
        <v>12379476674.72643</v>
      </c>
      <c r="AO249" s="2" t="n">
        <v>333.79021690168815</v>
      </c>
      <c r="AP249" s="2" t="n">
        <v>185.60954206210647</v>
      </c>
      <c r="AQ249" s="2" t="n">
        <v>5.962115656892112</v>
      </c>
      <c r="AR249" s="2" t="n">
        <v>35.88186197329236</v>
      </c>
      <c r="AS249" s="2" t="n">
        <v>5.806794273036893</v>
      </c>
      <c r="AT249" s="2" t="n">
        <v>2.2358297964689164</v>
      </c>
      <c r="AU249" s="2" t="n">
        <v>293.37411587603896</v>
      </c>
      <c r="AV249" s="2" t="n">
        <v>9.522040045339965e-11</v>
      </c>
      <c r="AW249" s="2" t="n">
        <v>-3.102032033578139e-05</v>
      </c>
      <c r="AX249" s="2" t="n">
        <v>275</v>
      </c>
      <c r="AY249" s="2" t="n">
        <v>9.610451456865121e-07</v>
      </c>
      <c r="AZ249" s="2" t="s">
        <v>131</v>
      </c>
      <c r="BA249" s="2" t="n">
        <v>4.48</v>
      </c>
      <c r="BB249" s="2" t="s">
        <v>132</v>
      </c>
      <c r="BC249" s="2" t="n">
        <v>4</v>
      </c>
      <c r="BD249" s="2" t="s">
        <v>133</v>
      </c>
      <c r="BE249" s="2" t="n">
        <v>3000</v>
      </c>
      <c r="BF249" s="2" t="s">
        <v>134</v>
      </c>
      <c r="BG249" s="2" t="n">
        <v>120</v>
      </c>
    </row>
    <row r="250" customFormat="false" ht="15" hidden="false" customHeight="false" outlineLevel="0" collapsed="false">
      <c r="A250" s="2" t="s">
        <v>383</v>
      </c>
      <c r="B250" s="2" t="s">
        <v>128</v>
      </c>
      <c r="C250" s="2" t="s">
        <v>129</v>
      </c>
      <c r="D250" s="2" t="s">
        <v>285</v>
      </c>
      <c r="E250" s="2" t="n">
        <v>0</v>
      </c>
      <c r="F250" s="2" t="n">
        <v>806.1361160482738</v>
      </c>
      <c r="G250" s="2" t="n">
        <v>289.5104488831872</v>
      </c>
      <c r="H250" s="2" t="n">
        <v>293.98315212821035</v>
      </c>
      <c r="I250" s="2" t="n">
        <v>3.2346296889128157</v>
      </c>
      <c r="J250" s="2" t="n">
        <v>0.002404683782770515</v>
      </c>
      <c r="K250" s="2" t="n">
        <v>0.00020039031523087626</v>
      </c>
      <c r="L250" s="2" t="n">
        <v>34.94278061939582</v>
      </c>
      <c r="M250" s="2" t="n">
        <v>0.6644120270645906</v>
      </c>
      <c r="N250" s="2" t="n">
        <v>1.2200746610626572</v>
      </c>
      <c r="O250" s="2" t="n">
        <v>5.198875</v>
      </c>
      <c r="P250" s="2" t="n">
        <v>3.4541950772054237</v>
      </c>
      <c r="Q250" s="2" t="n">
        <v>28.056939</v>
      </c>
      <c r="R250" s="2" t="n">
        <v>12.385548910259706</v>
      </c>
      <c r="S250" s="2" t="n">
        <v>45.927282119898884</v>
      </c>
      <c r="T250" s="2" t="n">
        <v>69.12470010937066</v>
      </c>
      <c r="U250" s="2" t="n">
        <v>0.0008084907779784714</v>
      </c>
      <c r="V250" s="2" t="n">
        <v>17.815584177216657</v>
      </c>
      <c r="W250" s="2" t="n">
        <v>4.296975561839106e-05</v>
      </c>
      <c r="X250" s="2" t="n">
        <v>523.1073686565371</v>
      </c>
      <c r="Y250" s="2" t="n">
        <v>278.2420349742157</v>
      </c>
      <c r="Z250" s="2" t="n">
        <v>17.9915928178687</v>
      </c>
      <c r="AA250" s="2" t="n">
        <v>315.49229910605413</v>
      </c>
      <c r="AB250" s="2" t="n">
        <v>25.98185022286691</v>
      </c>
      <c r="AC250" s="2" t="n">
        <v>261.15859960711623</v>
      </c>
      <c r="AD250" s="2" t="n">
        <v>0.6135670515379108</v>
      </c>
      <c r="AE250" s="2" t="n">
        <v>305.0469409113365</v>
      </c>
      <c r="AF250" s="2" t="n">
        <v>316.54271790708833</v>
      </c>
      <c r="AG250" s="2" t="n">
        <v>292.65557131774347</v>
      </c>
      <c r="AH250" s="2" t="n">
        <v>23.887146589344866</v>
      </c>
      <c r="AI250" s="2" t="n">
        <v>7.268392466015068</v>
      </c>
      <c r="AJ250" s="2" t="n">
        <v>315.1069303114292</v>
      </c>
      <c r="AK250" s="2" t="n">
        <v>316.03303094378043</v>
      </c>
      <c r="AL250" s="2" t="n">
        <v>316.4799523753568</v>
      </c>
      <c r="AM250" s="2" t="n">
        <v>8688452213.338104</v>
      </c>
      <c r="AN250" s="2" t="n">
        <v>8658979202.479372</v>
      </c>
      <c r="AO250" s="2" t="n">
        <v>305.30618621600394</v>
      </c>
      <c r="AP250" s="2" t="n">
        <v>276.2006906506516</v>
      </c>
      <c r="AQ250" s="2" t="n">
        <v>1.7024802993231898</v>
      </c>
      <c r="AR250" s="2" t="n">
        <v>11.74802180845812</v>
      </c>
      <c r="AS250" s="2" t="n">
        <v>1.591635290655886</v>
      </c>
      <c r="AT250" s="2" t="n">
        <v>2.5749595688254714</v>
      </c>
      <c r="AU250" s="2" t="n">
        <v>291.8893423103842</v>
      </c>
      <c r="AV250" s="2" t="n">
        <v>8.311445753861332e-11</v>
      </c>
      <c r="AW250" s="2" t="n">
        <v>-1.7139408719653472e-05</v>
      </c>
      <c r="AX250" s="2" t="n">
        <v>145</v>
      </c>
      <c r="AY250" s="2" t="n">
        <v>9.340888027509209e-07</v>
      </c>
      <c r="AZ250" s="2" t="s">
        <v>131</v>
      </c>
      <c r="BA250" s="2" t="n">
        <v>4.48</v>
      </c>
      <c r="BB250" s="2" t="s">
        <v>132</v>
      </c>
      <c r="BC250" s="2" t="n">
        <v>4</v>
      </c>
      <c r="BD250" s="2" t="s">
        <v>133</v>
      </c>
      <c r="BE250" s="2" t="n">
        <v>3000</v>
      </c>
      <c r="BF250" s="2" t="s">
        <v>134</v>
      </c>
      <c r="BG250" s="2" t="n">
        <v>120</v>
      </c>
    </row>
    <row r="251" customFormat="false" ht="15" hidden="false" customHeight="false" outlineLevel="0" collapsed="false">
      <c r="A251" s="2" t="s">
        <v>384</v>
      </c>
      <c r="B251" s="2" t="s">
        <v>128</v>
      </c>
      <c r="C251" s="2" t="s">
        <v>129</v>
      </c>
      <c r="D251" s="2" t="s">
        <v>285</v>
      </c>
      <c r="E251" s="2" t="n">
        <v>0</v>
      </c>
      <c r="F251" s="2" t="n">
        <v>627.4821056623226</v>
      </c>
      <c r="G251" s="2" t="n">
        <v>304.5387294240318</v>
      </c>
      <c r="H251" s="2" t="n">
        <v>311.63690404417014</v>
      </c>
      <c r="I251" s="2" t="n">
        <v>2.6881111746193764</v>
      </c>
      <c r="J251" s="2" t="n">
        <v>0.002399604147210973</v>
      </c>
      <c r="K251" s="2" t="n">
        <v>0.00019996701226758108</v>
      </c>
      <c r="L251" s="2" t="n">
        <v>36.25760238446246</v>
      </c>
      <c r="M251" s="2" t="n">
        <v>0.925033666774088</v>
      </c>
      <c r="N251" s="2" t="n">
        <v>0.7989945421451929</v>
      </c>
      <c r="O251" s="2" t="n">
        <v>5.198875</v>
      </c>
      <c r="P251" s="2" t="n">
        <v>4.809134404350138</v>
      </c>
      <c r="Q251" s="2" t="n">
        <v>28.056939</v>
      </c>
      <c r="R251" s="2" t="n">
        <v>24.007965948935976</v>
      </c>
      <c r="S251" s="2" t="n">
        <v>58.75009929692812</v>
      </c>
      <c r="T251" s="2" t="n">
        <v>63.51130927138037</v>
      </c>
      <c r="U251" s="2" t="n">
        <v>0.000630694204766322</v>
      </c>
      <c r="V251" s="2" t="n">
        <v>7.413576392099907</v>
      </c>
      <c r="W251" s="2" t="n">
        <v>1.784317819072046e-05</v>
      </c>
      <c r="X251" s="2" t="n">
        <v>407.17753073902065</v>
      </c>
      <c r="Y251" s="2" t="n">
        <v>303.6773490072921</v>
      </c>
      <c r="Z251" s="2" t="n">
        <v>15.91482246355363</v>
      </c>
      <c r="AA251" s="2" t="n">
        <v>325.1988725555237</v>
      </c>
      <c r="AB251" s="2" t="n">
        <v>20.66014313149185</v>
      </c>
      <c r="AC251" s="2" t="n">
        <v>207.2283702864546</v>
      </c>
      <c r="AD251" s="2" t="n">
        <v>0.6254807435713342</v>
      </c>
      <c r="AE251" s="2" t="n">
        <v>316.851600102906</v>
      </c>
      <c r="AF251" s="2" t="n">
        <v>326.01313852042097</v>
      </c>
      <c r="AG251" s="2" t="n">
        <v>306.9620351802977</v>
      </c>
      <c r="AH251" s="2" t="n">
        <v>19.05110334012329</v>
      </c>
      <c r="AI251" s="2" t="n">
        <v>5.7935784810462065</v>
      </c>
      <c r="AJ251" s="2" t="n">
        <v>324.8672418396904</v>
      </c>
      <c r="AK251" s="2" t="n">
        <v>325.6059498160441</v>
      </c>
      <c r="AL251" s="2" t="n">
        <v>325.962756553385</v>
      </c>
      <c r="AM251" s="2" t="n">
        <v>10099348663.535927</v>
      </c>
      <c r="AN251" s="2" t="n">
        <v>10079143272.383745</v>
      </c>
      <c r="AO251" s="2" t="n">
        <v>317.01027686644085</v>
      </c>
      <c r="AP251" s="2" t="n">
        <v>214.9897362302029</v>
      </c>
      <c r="AQ251" s="2" t="n">
        <v>1.010513786697813</v>
      </c>
      <c r="AR251" s="2" t="n">
        <v>6.000710180431781</v>
      </c>
      <c r="AS251" s="2" t="n">
        <v>0.7501855322641948</v>
      </c>
      <c r="AT251" s="2" t="n">
        <v>2.8188712335437582</v>
      </c>
      <c r="AU251" s="2" t="n">
        <v>310.1308996171506</v>
      </c>
      <c r="AV251" s="2" t="n">
        <v>8.949285756898463e-11</v>
      </c>
      <c r="AW251" s="2" t="n">
        <v>-2.1225184229582694e-05</v>
      </c>
      <c r="AX251" s="2" t="n">
        <v>150</v>
      </c>
      <c r="AY251" s="2" t="n">
        <v>8.864122378327011e-07</v>
      </c>
      <c r="AZ251" s="2" t="s">
        <v>131</v>
      </c>
      <c r="BA251" s="2" t="n">
        <v>4.48</v>
      </c>
      <c r="BB251" s="2" t="s">
        <v>132</v>
      </c>
      <c r="BC251" s="2" t="n">
        <v>4</v>
      </c>
      <c r="BD251" s="2" t="s">
        <v>133</v>
      </c>
      <c r="BE251" s="2" t="n">
        <v>3000</v>
      </c>
      <c r="BF251" s="2" t="s">
        <v>134</v>
      </c>
      <c r="BG251" s="2" t="n">
        <v>120</v>
      </c>
    </row>
    <row r="252" customFormat="false" ht="15" hidden="false" customHeight="false" outlineLevel="0" collapsed="false">
      <c r="A252" s="2" t="s">
        <v>385</v>
      </c>
      <c r="B252" s="2" t="s">
        <v>128</v>
      </c>
      <c r="C252" s="2" t="s">
        <v>129</v>
      </c>
      <c r="D252" s="2" t="s">
        <v>285</v>
      </c>
      <c r="E252" s="2" t="n">
        <v>0</v>
      </c>
      <c r="F252" s="2" t="n">
        <v>862.6673334001889</v>
      </c>
      <c r="G252" s="2" t="n">
        <v>315.0828062045532</v>
      </c>
      <c r="H252" s="2" t="n">
        <v>307.69918393789743</v>
      </c>
      <c r="I252" s="2" t="n">
        <v>4.2783953494967175</v>
      </c>
      <c r="J252" s="2" t="n">
        <v>0.0033538612429187932</v>
      </c>
      <c r="K252" s="2" t="n">
        <v>0.0002794884369098994</v>
      </c>
      <c r="L252" s="2" t="n">
        <v>33.63780893580489</v>
      </c>
      <c r="M252" s="2" t="n">
        <v>0.5729566369641569</v>
      </c>
      <c r="N252" s="2" t="n">
        <v>1.4987588728099475</v>
      </c>
      <c r="O252" s="2" t="n">
        <v>5.198875</v>
      </c>
      <c r="P252" s="2" t="n">
        <v>2.9787299359970314</v>
      </c>
      <c r="Q252" s="2" t="n">
        <v>28.056939</v>
      </c>
      <c r="R252" s="2" t="n">
        <v>9.210512515064922</v>
      </c>
      <c r="S252" s="2" t="n">
        <v>97.82886251886333</v>
      </c>
      <c r="T252" s="2" t="n">
        <v>170.74392058221906</v>
      </c>
      <c r="U252" s="2" t="n">
        <v>0.0005293780483508915</v>
      </c>
      <c r="V252" s="2" t="n">
        <v>20.376833842024322</v>
      </c>
      <c r="W252" s="2" t="n">
        <v>6.854671341641064e-05</v>
      </c>
      <c r="X252" s="2" t="n">
        <v>559.7908713147164</v>
      </c>
      <c r="Y252" s="2" t="n">
        <v>297.939849728901</v>
      </c>
      <c r="Z252" s="2" t="n">
        <v>21.957902328087524</v>
      </c>
      <c r="AA252" s="2" t="n">
        <v>334.48758841834865</v>
      </c>
      <c r="AB252" s="2" t="n">
        <v>19.404782213795443</v>
      </c>
      <c r="AC252" s="2" t="n">
        <v>272.03835843545704</v>
      </c>
      <c r="AD252" s="2" t="n">
        <v>0.5972454777819969</v>
      </c>
      <c r="AE252" s="2" t="n">
        <v>327.0060850619222</v>
      </c>
      <c r="AF252" s="2" t="n">
        <v>335.7244941971947</v>
      </c>
      <c r="AG252" s="2" t="n">
        <v>317.7372443616865</v>
      </c>
      <c r="AH252" s="2" t="n">
        <v>17.98724983550818</v>
      </c>
      <c r="AI252" s="2" t="n">
        <v>5.447854419461659</v>
      </c>
      <c r="AJ252" s="2" t="n">
        <v>334.5756685067655</v>
      </c>
      <c r="AK252" s="2" t="n">
        <v>335.2681370741989</v>
      </c>
      <c r="AL252" s="2" t="n">
        <v>335.65472233490283</v>
      </c>
      <c r="AM252" s="2" t="n">
        <v>11453695321.166384</v>
      </c>
      <c r="AN252" s="2" t="n">
        <v>11434662140.575335</v>
      </c>
      <c r="AO252" s="2" t="n">
        <v>327.1420769391459</v>
      </c>
      <c r="AP252" s="2" t="n">
        <v>295.5695800541703</v>
      </c>
      <c r="AQ252" s="2" t="n">
        <v>3.0390897204520146</v>
      </c>
      <c r="AR252" s="2" t="n">
        <v>17.714698752617462</v>
      </c>
      <c r="AS252" s="2" t="n">
        <v>2.77748841599982</v>
      </c>
      <c r="AT252" s="2" t="n">
        <v>2.308330442307088</v>
      </c>
      <c r="AU252" s="2" t="n">
        <v>307.1659026615184</v>
      </c>
      <c r="AV252" s="2" t="n">
        <v>8.278902896563527e-11</v>
      </c>
      <c r="AW252" s="2" t="n">
        <v>-1.75450682317499e-05</v>
      </c>
      <c r="AX252" s="2" t="n">
        <v>116</v>
      </c>
      <c r="AY252" s="2" t="n">
        <v>9.960739930647833e-07</v>
      </c>
      <c r="AZ252" s="2" t="s">
        <v>131</v>
      </c>
      <c r="BA252" s="2" t="n">
        <v>4.48</v>
      </c>
      <c r="BB252" s="2" t="s">
        <v>132</v>
      </c>
      <c r="BC252" s="2" t="n">
        <v>4</v>
      </c>
      <c r="BD252" s="2" t="s">
        <v>133</v>
      </c>
      <c r="BE252" s="2" t="n">
        <v>3000</v>
      </c>
      <c r="BF252" s="2" t="s">
        <v>134</v>
      </c>
      <c r="BG252" s="2" t="n">
        <v>120</v>
      </c>
    </row>
    <row r="253" customFormat="false" ht="15" hidden="false" customHeight="false" outlineLevel="0" collapsed="false">
      <c r="A253" s="2" t="s">
        <v>386</v>
      </c>
      <c r="B253" s="2" t="s">
        <v>128</v>
      </c>
      <c r="C253" s="2" t="s">
        <v>129</v>
      </c>
      <c r="D253" s="2" t="s">
        <v>285</v>
      </c>
      <c r="E253" s="2" t="n">
        <v>0</v>
      </c>
      <c r="F253" s="2" t="n">
        <v>533.5809995364458</v>
      </c>
      <c r="G253" s="2" t="n">
        <v>303.0529767637454</v>
      </c>
      <c r="H253" s="2" t="n">
        <v>290.0251873411365</v>
      </c>
      <c r="I253" s="2" t="n">
        <v>2.930369919757814</v>
      </c>
      <c r="J253" s="2" t="n">
        <v>0.003063093674860407</v>
      </c>
      <c r="K253" s="2" t="n">
        <v>0.00025525780623836725</v>
      </c>
      <c r="L253" s="2" t="n">
        <v>35.675600775417024</v>
      </c>
      <c r="M253" s="2" t="n">
        <v>0.39382567457193196</v>
      </c>
      <c r="N253" s="2" t="n">
        <v>0.5052310504689841</v>
      </c>
      <c r="O253" s="2" t="n">
        <v>5.198875</v>
      </c>
      <c r="P253" s="2" t="n">
        <v>2.047450453890153</v>
      </c>
      <c r="Q253" s="2" t="n">
        <v>28.056939</v>
      </c>
      <c r="R253" s="2" t="n">
        <v>4.35159369736993</v>
      </c>
      <c r="S253" s="2" t="n">
        <v>67.22285033391623</v>
      </c>
      <c r="T253" s="2" t="n">
        <v>170.69189408990152</v>
      </c>
      <c r="U253" s="2" t="n">
        <v>0.0007036086936815823</v>
      </c>
      <c r="V253" s="2" t="n">
        <v>115.1040903048741</v>
      </c>
      <c r="W253" s="2" t="n">
        <v>0.00035363551751596887</v>
      </c>
      <c r="X253" s="2" t="n">
        <v>346.2444456661964</v>
      </c>
      <c r="Y253" s="2" t="n">
        <v>272.64193270388154</v>
      </c>
      <c r="Z253" s="2" t="n">
        <v>16.835405695079693</v>
      </c>
      <c r="AA253" s="2" t="n">
        <v>315.3365690045186</v>
      </c>
      <c r="AB253" s="2" t="n">
        <v>12.283592240773203</v>
      </c>
      <c r="AC253" s="2" t="n">
        <v>157.27581765461693</v>
      </c>
      <c r="AD253" s="2" t="n">
        <v>0.5582486389674413</v>
      </c>
      <c r="AE253" s="2" t="n">
        <v>310.5463145303888</v>
      </c>
      <c r="AF253" s="2" t="n">
        <v>316.04792457682726</v>
      </c>
      <c r="AG253" s="2" t="n">
        <v>304.6849203895041</v>
      </c>
      <c r="AH253" s="2" t="n">
        <v>11.363004187323156</v>
      </c>
      <c r="AI253" s="2" t="n">
        <v>3.4494893813274303</v>
      </c>
      <c r="AJ253" s="2" t="n">
        <v>315.34040930625457</v>
      </c>
      <c r="AK253" s="2" t="n">
        <v>315.77279137437495</v>
      </c>
      <c r="AL253" s="2" t="n">
        <v>316.00316753137304</v>
      </c>
      <c r="AM253" s="2" t="n">
        <v>9307365791.32982</v>
      </c>
      <c r="AN253" s="2" t="n">
        <v>9300483318.759623</v>
      </c>
      <c r="AO253" s="2" t="n">
        <v>310.60375062150894</v>
      </c>
      <c r="AP253" s="2" t="n">
        <v>182.81706731175169</v>
      </c>
      <c r="AQ253" s="2" t="n">
        <v>2.842418755645066</v>
      </c>
      <c r="AR253" s="2" t="n">
        <v>19.74671565828544</v>
      </c>
      <c r="AS253" s="2" t="n">
        <v>2.952166828082128</v>
      </c>
      <c r="AT253" s="2" t="n">
        <v>2.3572573986785446</v>
      </c>
      <c r="AU253" s="2" t="n">
        <v>288.43030533709646</v>
      </c>
      <c r="AV253" s="2" t="n">
        <v>8.754028613111591e-11</v>
      </c>
      <c r="AW253" s="2" t="n">
        <v>-2.729767300411944e-05</v>
      </c>
      <c r="AX253" s="2" t="n">
        <v>123</v>
      </c>
      <c r="AY253" s="2" t="n">
        <v>9.829310556597193e-07</v>
      </c>
      <c r="AZ253" s="2" t="s">
        <v>131</v>
      </c>
      <c r="BA253" s="2" t="n">
        <v>4.48</v>
      </c>
      <c r="BB253" s="2" t="s">
        <v>132</v>
      </c>
      <c r="BC253" s="2" t="n">
        <v>4</v>
      </c>
      <c r="BD253" s="2" t="s">
        <v>133</v>
      </c>
      <c r="BE253" s="2" t="n">
        <v>3000</v>
      </c>
      <c r="BF253" s="2" t="s">
        <v>134</v>
      </c>
      <c r="BG253" s="2" t="n">
        <v>120</v>
      </c>
    </row>
    <row r="254" customFormat="false" ht="15" hidden="false" customHeight="false" outlineLevel="0" collapsed="false">
      <c r="A254" s="2" t="s">
        <v>387</v>
      </c>
      <c r="B254" s="2" t="s">
        <v>128</v>
      </c>
      <c r="C254" s="2" t="s">
        <v>129</v>
      </c>
      <c r="D254" s="2" t="s">
        <v>285</v>
      </c>
      <c r="E254" s="2" t="n">
        <v>0</v>
      </c>
      <c r="F254" s="2" t="n">
        <v>478.81800269670526</v>
      </c>
      <c r="G254" s="2" t="n">
        <v>296.1490231997349</v>
      </c>
      <c r="H254" s="2" t="n">
        <v>283.87536729806993</v>
      </c>
      <c r="I254" s="2" t="n">
        <v>2.4340338931688574</v>
      </c>
      <c r="J254" s="2" t="n">
        <v>0.004092608016293807</v>
      </c>
      <c r="K254" s="2" t="n">
        <v>0.0003410506680244839</v>
      </c>
      <c r="L254" s="2" t="n">
        <v>32.21985657939021</v>
      </c>
      <c r="M254" s="2" t="n">
        <v>0.4754785095051223</v>
      </c>
      <c r="N254" s="2" t="n">
        <v>1.8666894770672506</v>
      </c>
      <c r="O254" s="2" t="n">
        <v>5.198875</v>
      </c>
      <c r="P254" s="2" t="n">
        <v>2.4719533361034434</v>
      </c>
      <c r="Q254" s="2" t="n">
        <v>28.056939</v>
      </c>
      <c r="R254" s="2" t="n">
        <v>6.343107522506434</v>
      </c>
      <c r="S254" s="2" t="n">
        <v>74.46460630791144</v>
      </c>
      <c r="T254" s="2" t="n">
        <v>156.60982530086193</v>
      </c>
      <c r="U254" s="2" t="n">
        <v>0.0008486685226608445</v>
      </c>
      <c r="V254" s="2" t="n">
        <v>52.46642054621284</v>
      </c>
      <c r="W254" s="2" t="n">
        <v>0.00021537060512905992</v>
      </c>
      <c r="X254" s="2" t="n">
        <v>310.70835367591087</v>
      </c>
      <c r="Y254" s="2" t="n">
        <v>264.01623982606947</v>
      </c>
      <c r="Z254" s="2" t="n">
        <v>14.949328794041659</v>
      </c>
      <c r="AA254" s="2" t="n">
        <v>304.4211412438909</v>
      </c>
      <c r="AB254" s="2" t="n">
        <v>8.272118044155945</v>
      </c>
      <c r="AC254" s="2" t="n">
        <v>141.51196306842849</v>
      </c>
      <c r="AD254" s="2" t="n">
        <v>0.5597431175509924</v>
      </c>
      <c r="AE254" s="2" t="n">
        <v>301.4256519329407</v>
      </c>
      <c r="AF254" s="2" t="n">
        <v>305.1603654397519</v>
      </c>
      <c r="AG254" s="2" t="n">
        <v>297.48159381884443</v>
      </c>
      <c r="AH254" s="2" t="n">
        <v>7.678771620907469</v>
      </c>
      <c r="AI254" s="2" t="n">
        <v>2.3215572233041355</v>
      </c>
      <c r="AJ254" s="2" t="n">
        <v>304.63871513007</v>
      </c>
      <c r="AK254" s="2" t="n">
        <v>304.9696819242142</v>
      </c>
      <c r="AL254" s="2" t="n">
        <v>305.13246474041813</v>
      </c>
      <c r="AM254" s="2" t="n">
        <v>8258008784.080952</v>
      </c>
      <c r="AN254" s="2" t="n">
        <v>8255071431.079612</v>
      </c>
      <c r="AO254" s="2" t="n">
        <v>301.4524619803665</v>
      </c>
      <c r="AP254" s="2" t="n">
        <v>164.05401074088095</v>
      </c>
      <c r="AQ254" s="2" t="n">
        <v>2.342862181090075</v>
      </c>
      <c r="AR254" s="2" t="n">
        <v>17.674443271244375</v>
      </c>
      <c r="AS254" s="2" t="n">
        <v>2.524781784384663</v>
      </c>
      <c r="AT254" s="2" t="n">
        <v>2.4326256237514254</v>
      </c>
      <c r="AU254" s="2" t="n">
        <v>281.630555034933</v>
      </c>
      <c r="AV254" s="2" t="n">
        <v>7.458822892658644e-11</v>
      </c>
      <c r="AW254" s="2" t="n">
        <v>-2.584911654309852e-05</v>
      </c>
      <c r="AX254" s="2" t="n">
        <v>99</v>
      </c>
      <c r="AY254" s="2" t="n">
        <v>8.245737035394995e-07</v>
      </c>
      <c r="AZ254" s="2" t="s">
        <v>131</v>
      </c>
      <c r="BA254" s="2" t="n">
        <v>4.48</v>
      </c>
      <c r="BB254" s="2" t="s">
        <v>132</v>
      </c>
      <c r="BC254" s="2" t="n">
        <v>4</v>
      </c>
      <c r="BD254" s="2" t="s">
        <v>133</v>
      </c>
      <c r="BE254" s="2" t="n">
        <v>3000</v>
      </c>
      <c r="BF254" s="2" t="s">
        <v>134</v>
      </c>
      <c r="BG254" s="2" t="n">
        <v>120</v>
      </c>
    </row>
    <row r="255" customFormat="false" ht="15" hidden="false" customHeight="false" outlineLevel="0" collapsed="false">
      <c r="A255" s="2" t="s">
        <v>388</v>
      </c>
      <c r="B255" s="2" t="s">
        <v>128</v>
      </c>
      <c r="C255" s="2" t="s">
        <v>129</v>
      </c>
      <c r="D255" s="2" t="s">
        <v>285</v>
      </c>
      <c r="E255" s="2" t="n">
        <v>0</v>
      </c>
      <c r="F255" s="2" t="n">
        <v>555.3822908147997</v>
      </c>
      <c r="G255" s="2" t="n">
        <v>291.7674451398081</v>
      </c>
      <c r="H255" s="2" t="n">
        <v>307.8208690161743</v>
      </c>
      <c r="I255" s="2" t="n">
        <v>3.1283848827793355</v>
      </c>
      <c r="J255" s="2" t="n">
        <v>0.0029019795047720755</v>
      </c>
      <c r="K255" s="2" t="n">
        <v>0.00024183162539767296</v>
      </c>
      <c r="L255" s="2" t="n">
        <v>26.420748303364608</v>
      </c>
      <c r="M255" s="2" t="n">
        <v>0.3656932840984856</v>
      </c>
      <c r="N255" s="2" t="n">
        <v>0.5335817704140112</v>
      </c>
      <c r="O255" s="2" t="n">
        <v>5.198875</v>
      </c>
      <c r="P255" s="2" t="n">
        <v>1.9011936723675147</v>
      </c>
      <c r="Q255" s="2" t="n">
        <v>28.056939</v>
      </c>
      <c r="R255" s="2" t="n">
        <v>3.752098727294321</v>
      </c>
      <c r="S255" s="2" t="n">
        <v>52.23536100361231</v>
      </c>
      <c r="T255" s="2" t="n">
        <v>142.83926797393602</v>
      </c>
      <c r="U255" s="2" t="n">
        <v>0.0008578622988240031</v>
      </c>
      <c r="V255" s="2" t="n">
        <v>158.60712613842958</v>
      </c>
      <c r="W255" s="2" t="n">
        <v>0.0004616596081890892</v>
      </c>
      <c r="X255" s="2" t="n">
        <v>360.3914561857592</v>
      </c>
      <c r="Y255" s="2" t="n">
        <v>298.1166055670517</v>
      </c>
      <c r="Z255" s="2" t="n">
        <v>17.587862554561475</v>
      </c>
      <c r="AA255" s="2" t="n">
        <v>307.83726643921875</v>
      </c>
      <c r="AB255" s="2" t="n">
        <v>16.06982129941065</v>
      </c>
      <c r="AC255" s="2" t="n">
        <v>194.931340795081</v>
      </c>
      <c r="AD255" s="2" t="n">
        <v>0.6647459804733679</v>
      </c>
      <c r="AE255" s="2" t="n">
        <v>301.54768790973884</v>
      </c>
      <c r="AF255" s="2" t="n">
        <v>308.7208812246062</v>
      </c>
      <c r="AG255" s="2" t="n">
        <v>293.8782733332549</v>
      </c>
      <c r="AH255" s="2" t="n">
        <v>14.842607891351292</v>
      </c>
      <c r="AI255" s="2" t="n">
        <v>4.512320410228315</v>
      </c>
      <c r="AJ255" s="2" t="n">
        <v>307.81394508477166</v>
      </c>
      <c r="AK255" s="2" t="n">
        <v>308.36183336381214</v>
      </c>
      <c r="AL255" s="2" t="n">
        <v>308.6673075475672</v>
      </c>
      <c r="AM255" s="2" t="n">
        <v>8279551072.976232</v>
      </c>
      <c r="AN255" s="2" t="n">
        <v>8268448231.119598</v>
      </c>
      <c r="AO255" s="2" t="n">
        <v>301.64886625717014</v>
      </c>
      <c r="AP255" s="2" t="n">
        <v>190.28668886608085</v>
      </c>
      <c r="AQ255" s="2" t="n">
        <v>-0.4738306713026223</v>
      </c>
      <c r="AR255" s="2" t="n">
        <v>-3.2683146939720045</v>
      </c>
      <c r="AS255" s="2" t="n">
        <v>-0.9024590607610212</v>
      </c>
      <c r="AT255" s="2" t="n">
        <v>1.4022692969035688</v>
      </c>
      <c r="AU255" s="2" t="n">
        <v>305.2081486703682</v>
      </c>
      <c r="AV255" s="2" t="n">
        <v>7.296108606169583e-11</v>
      </c>
      <c r="AW255" s="2" t="n">
        <v>-2.4320814891516357e-05</v>
      </c>
      <c r="AX255" s="2" t="n">
        <v>126</v>
      </c>
      <c r="AY255" s="2" t="n">
        <v>9.244739658242906e-07</v>
      </c>
      <c r="AZ255" s="2" t="s">
        <v>131</v>
      </c>
      <c r="BA255" s="2" t="n">
        <v>4.48</v>
      </c>
      <c r="BB255" s="2" t="s">
        <v>132</v>
      </c>
      <c r="BC255" s="2" t="n">
        <v>4</v>
      </c>
      <c r="BD255" s="2" t="s">
        <v>133</v>
      </c>
      <c r="BE255" s="2" t="n">
        <v>3000</v>
      </c>
      <c r="BF255" s="2" t="s">
        <v>134</v>
      </c>
      <c r="BG255" s="2" t="n">
        <v>120</v>
      </c>
    </row>
    <row r="256" customFormat="false" ht="15" hidden="false" customHeight="false" outlineLevel="0" collapsed="false">
      <c r="A256" s="2" t="s">
        <v>389</v>
      </c>
      <c r="B256" s="2" t="s">
        <v>128</v>
      </c>
      <c r="C256" s="2" t="s">
        <v>129</v>
      </c>
      <c r="D256" s="2" t="s">
        <v>285</v>
      </c>
      <c r="E256" s="2" t="n">
        <v>0</v>
      </c>
      <c r="F256" s="2" t="n">
        <v>473.2882605849514</v>
      </c>
      <c r="G256" s="2" t="n">
        <v>310.9020748240477</v>
      </c>
      <c r="H256" s="2" t="n">
        <v>306.31455809504865</v>
      </c>
      <c r="I256" s="2" t="n">
        <v>2.5297826909843812</v>
      </c>
      <c r="J256" s="2" t="n">
        <v>0.004025205817363333</v>
      </c>
      <c r="K256" s="2" t="n">
        <v>0.0003354338181136111</v>
      </c>
      <c r="L256" s="2" t="n">
        <v>25.864301670635193</v>
      </c>
      <c r="M256" s="2" t="n">
        <v>0.9845670263280123</v>
      </c>
      <c r="N256" s="2" t="n">
        <v>1.7349276543969347</v>
      </c>
      <c r="O256" s="2" t="n">
        <v>5.198875</v>
      </c>
      <c r="P256" s="2" t="n">
        <v>5.118640899001045</v>
      </c>
      <c r="Q256" s="2" t="n">
        <v>28.056939</v>
      </c>
      <c r="R256" s="2" t="n">
        <v>27.19761750667273</v>
      </c>
      <c r="S256" s="2" t="n">
        <v>99.37716811988766</v>
      </c>
      <c r="T256" s="2" t="n">
        <v>100.93489367658326</v>
      </c>
      <c r="U256" s="2" t="n">
        <v>0.0006254452756844095</v>
      </c>
      <c r="V256" s="2" t="n">
        <v>10.593367246822762</v>
      </c>
      <c r="W256" s="2" t="n">
        <v>4.2768789836887837e-05</v>
      </c>
      <c r="X256" s="2" t="n">
        <v>307.120065311399</v>
      </c>
      <c r="Y256" s="2" t="n">
        <v>295.93104960940235</v>
      </c>
      <c r="Z256" s="2" t="n">
        <v>15.31317422574065</v>
      </c>
      <c r="AA256" s="2" t="n">
        <v>319.7300960636113</v>
      </c>
      <c r="AB256" s="2" t="n">
        <v>8.828021239563611</v>
      </c>
      <c r="AC256" s="2" t="n">
        <v>148.53463823806774</v>
      </c>
      <c r="AD256" s="2" t="n">
        <v>0.594385337967028</v>
      </c>
      <c r="AE256" s="2" t="n">
        <v>316.45883386355496</v>
      </c>
      <c r="AF256" s="2" t="n">
        <v>320.45867372195346</v>
      </c>
      <c r="AG256" s="2" t="n">
        <v>312.2510931998111</v>
      </c>
      <c r="AH256" s="2" t="n">
        <v>8.207580522142337</v>
      </c>
      <c r="AI256" s="2" t="n">
        <v>2.484731030314157</v>
      </c>
      <c r="AJ256" s="2" t="n">
        <v>319.8969310121833</v>
      </c>
      <c r="AK256" s="2" t="n">
        <v>320.2453667382277</v>
      </c>
      <c r="AL256" s="2" t="n">
        <v>320.42934692376275</v>
      </c>
      <c r="AM256" s="2" t="n">
        <v>10032968830.667042</v>
      </c>
      <c r="AN256" s="2" t="n">
        <v>10029260078.604511</v>
      </c>
      <c r="AO256" s="2" t="n">
        <v>316.4880858877167</v>
      </c>
      <c r="AP256" s="2" t="n">
        <v>162.15939448441867</v>
      </c>
      <c r="AQ256" s="2" t="n">
        <v>1.6811181543152454</v>
      </c>
      <c r="AR256" s="2" t="n">
        <v>10.48432473613661</v>
      </c>
      <c r="AS256" s="2" t="n">
        <v>1.459354261708696</v>
      </c>
      <c r="AT256" s="2" t="n">
        <v>2.543746165487517</v>
      </c>
      <c r="AU256" s="2" t="n">
        <v>304.7165559950543</v>
      </c>
      <c r="AV256" s="2" t="n">
        <v>8.122697181534024e-11</v>
      </c>
      <c r="AW256" s="2" t="n">
        <v>-2.750745813408752e-05</v>
      </c>
      <c r="AX256" s="2" t="n">
        <v>102</v>
      </c>
      <c r="AY256" s="2" t="n">
        <v>8.545874834453571e-07</v>
      </c>
      <c r="AZ256" s="2" t="s">
        <v>131</v>
      </c>
      <c r="BA256" s="2" t="n">
        <v>4.48</v>
      </c>
      <c r="BB256" s="2" t="s">
        <v>132</v>
      </c>
      <c r="BC256" s="2" t="n">
        <v>4</v>
      </c>
      <c r="BD256" s="2" t="s">
        <v>133</v>
      </c>
      <c r="BE256" s="2" t="n">
        <v>3000</v>
      </c>
      <c r="BF256" s="2" t="s">
        <v>134</v>
      </c>
      <c r="BG256" s="2" t="n">
        <v>120</v>
      </c>
    </row>
    <row r="257" customFormat="false" ht="15" hidden="false" customHeight="false" outlineLevel="0" collapsed="false">
      <c r="A257" s="2" t="s">
        <v>390</v>
      </c>
      <c r="B257" s="2" t="s">
        <v>128</v>
      </c>
      <c r="C257" s="2" t="s">
        <v>129</v>
      </c>
      <c r="D257" s="2" t="s">
        <v>285</v>
      </c>
      <c r="E257" s="2" t="n">
        <v>0</v>
      </c>
      <c r="F257" s="2" t="n">
        <v>559.8612633227793</v>
      </c>
      <c r="G257" s="2" t="n">
        <v>304.32163570035124</v>
      </c>
      <c r="H257" s="2" t="n">
        <v>291.3383143496365</v>
      </c>
      <c r="I257" s="2" t="n">
        <v>1.2389559173584728</v>
      </c>
      <c r="J257" s="2" t="n">
        <v>0.004481481218729105</v>
      </c>
      <c r="K257" s="2" t="n">
        <v>0.0003734567682274254</v>
      </c>
      <c r="L257" s="2" t="n">
        <v>34.57206585868706</v>
      </c>
      <c r="M257" s="2" t="n">
        <v>0.8299076324967585</v>
      </c>
      <c r="N257" s="2" t="n">
        <v>0.6490161685520685</v>
      </c>
      <c r="O257" s="2" t="n">
        <v>5.198875</v>
      </c>
      <c r="P257" s="2" t="n">
        <v>4.314586042896585</v>
      </c>
      <c r="Q257" s="2" t="n">
        <v>28.056939</v>
      </c>
      <c r="R257" s="2" t="n">
        <v>19.32412354446425</v>
      </c>
      <c r="S257" s="2" t="n">
        <v>97.56996004395754</v>
      </c>
      <c r="T257" s="2" t="n">
        <v>117.56725233435984</v>
      </c>
      <c r="U257" s="2" t="n">
        <v>0.0007092401207933333</v>
      </c>
      <c r="V257" s="2" t="n">
        <v>20.68438992418166</v>
      </c>
      <c r="W257" s="2" t="n">
        <v>9.297563186167467e-05</v>
      </c>
      <c r="X257" s="2" t="n">
        <v>363.29789279899467</v>
      </c>
      <c r="Y257" s="2" t="n">
        <v>274.49566007351785</v>
      </c>
      <c r="Z257" s="2" t="n">
        <v>10.408032485962195</v>
      </c>
      <c r="AA257" s="2" t="n">
        <v>313.26876261477236</v>
      </c>
      <c r="AB257" s="2" t="n">
        <v>8.94712691442112</v>
      </c>
      <c r="AC257" s="2" t="n">
        <v>167.60287353539724</v>
      </c>
      <c r="AD257" s="2" t="n">
        <v>0.5669791884549833</v>
      </c>
      <c r="AE257" s="2" t="n">
        <v>310.0916291931688</v>
      </c>
      <c r="AF257" s="2" t="n">
        <v>314.1520539091311</v>
      </c>
      <c r="AG257" s="2" t="n">
        <v>305.8260433881013</v>
      </c>
      <c r="AH257" s="2" t="n">
        <v>8.326010521029787</v>
      </c>
      <c r="AI257" s="2" t="n">
        <v>2.5157240128890814</v>
      </c>
      <c r="AJ257" s="2" t="n">
        <v>313.5749621316437</v>
      </c>
      <c r="AK257" s="2" t="n">
        <v>313.94783440046825</v>
      </c>
      <c r="AL257" s="2" t="n">
        <v>314.117863592004</v>
      </c>
      <c r="AM257" s="2" t="n">
        <v>9249784203.611467</v>
      </c>
      <c r="AN257" s="2" t="n">
        <v>9246133743.209932</v>
      </c>
      <c r="AO257" s="2" t="n">
        <v>310.1222314343332</v>
      </c>
      <c r="AP257" s="2" t="n">
        <v>191.82128739786918</v>
      </c>
      <c r="AQ257" s="2" t="n">
        <v>2.7062325060273356</v>
      </c>
      <c r="AR257" s="2" t="n">
        <v>18.814376919983694</v>
      </c>
      <c r="AS257" s="2" t="n">
        <v>2.6978495619213247</v>
      </c>
      <c r="AT257" s="2" t="n">
        <v>2.445872020790117</v>
      </c>
      <c r="AU257" s="2" t="n">
        <v>289.0198246394916</v>
      </c>
      <c r="AV257" s="2" t="n">
        <v>7.979508609423645e-11</v>
      </c>
      <c r="AW257" s="2" t="n">
        <v>-2.460352960139022e-05</v>
      </c>
      <c r="AX257" s="2" t="n">
        <v>94</v>
      </c>
      <c r="AY257" s="2" t="n">
        <v>8.934664492699085e-07</v>
      </c>
      <c r="AZ257" s="2" t="s">
        <v>131</v>
      </c>
      <c r="BA257" s="2" t="n">
        <v>4.48</v>
      </c>
      <c r="BB257" s="2" t="s">
        <v>132</v>
      </c>
      <c r="BC257" s="2" t="n">
        <v>4</v>
      </c>
      <c r="BD257" s="2" t="s">
        <v>133</v>
      </c>
      <c r="BE257" s="2" t="n">
        <v>3000</v>
      </c>
      <c r="BF257" s="2" t="s">
        <v>134</v>
      </c>
      <c r="BG257" s="2" t="n">
        <v>120</v>
      </c>
    </row>
    <row r="258" customFormat="false" ht="15" hidden="false" customHeight="false" outlineLevel="0" collapsed="false">
      <c r="A258" s="2" t="s">
        <v>391</v>
      </c>
      <c r="B258" s="2" t="s">
        <v>128</v>
      </c>
      <c r="C258" s="2" t="s">
        <v>129</v>
      </c>
      <c r="D258" s="2" t="s">
        <v>285</v>
      </c>
      <c r="E258" s="2" t="n">
        <v>0</v>
      </c>
      <c r="F258" s="2" t="n">
        <v>702.4612224890176</v>
      </c>
      <c r="G258" s="2" t="n">
        <v>305.7048032237939</v>
      </c>
      <c r="H258" s="2" t="n">
        <v>311.4163153326797</v>
      </c>
      <c r="I258" s="2" t="n">
        <v>0.0989742108258304</v>
      </c>
      <c r="J258" s="2" t="n">
        <v>0.0037650226376469234</v>
      </c>
      <c r="K258" s="2" t="n">
        <v>0.00031375188647057693</v>
      </c>
      <c r="L258" s="2" t="n">
        <v>21.851943636623794</v>
      </c>
      <c r="M258" s="2" t="n">
        <v>0.8927905275921258</v>
      </c>
      <c r="N258" s="2" t="n">
        <v>1.5891685250007326</v>
      </c>
      <c r="O258" s="2" t="n">
        <v>5.198875</v>
      </c>
      <c r="P258" s="2" t="n">
        <v>4.6415063541355135</v>
      </c>
      <c r="Q258" s="2" t="n">
        <v>28.056939</v>
      </c>
      <c r="R258" s="2" t="n">
        <v>22.36348258165086</v>
      </c>
      <c r="S258" s="2" t="n">
        <v>89.20146918437246</v>
      </c>
      <c r="T258" s="2" t="n">
        <v>99.91309991264205</v>
      </c>
      <c r="U258" s="2" t="n">
        <v>0.000651753580787663</v>
      </c>
      <c r="V258" s="2" t="n">
        <v>12.092031765804213</v>
      </c>
      <c r="W258" s="2" t="n">
        <v>4.566376462728041e-05</v>
      </c>
      <c r="X258" s="2" t="n">
        <v>455.83200450168084</v>
      </c>
      <c r="Y258" s="2" t="n">
        <v>303.35497412782246</v>
      </c>
      <c r="Z258" s="2" t="n">
        <v>6.076102001138156</v>
      </c>
      <c r="AA258" s="2" t="n">
        <v>320.5447883636984</v>
      </c>
      <c r="AB258" s="2" t="n">
        <v>14.839985139904513</v>
      </c>
      <c r="AC258" s="2" t="n">
        <v>233.548638375273</v>
      </c>
      <c r="AD258" s="2" t="n">
        <v>0.6296816855634342</v>
      </c>
      <c r="AE258" s="2" t="n">
        <v>314.94463039335955</v>
      </c>
      <c r="AF258" s="2" t="n">
        <v>321.66293121933563</v>
      </c>
      <c r="AG258" s="2" t="n">
        <v>307.8917827578935</v>
      </c>
      <c r="AH258" s="2" t="n">
        <v>13.771148461442124</v>
      </c>
      <c r="AI258" s="2" t="n">
        <v>4.17695953239348</v>
      </c>
      <c r="AJ258" s="2" t="n">
        <v>320.7275722781851</v>
      </c>
      <c r="AK258" s="2" t="n">
        <v>321.29704559215287</v>
      </c>
      <c r="AL258" s="2" t="n">
        <v>321.6124255626023</v>
      </c>
      <c r="AM258" s="2" t="n">
        <v>9849059710.054335</v>
      </c>
      <c r="AN258" s="2" t="n">
        <v>9838679947.990374</v>
      </c>
      <c r="AO258" s="2" t="n">
        <v>315.0276638345079</v>
      </c>
      <c r="AP258" s="2" t="n">
        <v>240.6792983768875</v>
      </c>
      <c r="AQ258" s="2" t="n">
        <v>0.9323294413175048</v>
      </c>
      <c r="AR258" s="2" t="n">
        <v>5.690785628751841</v>
      </c>
      <c r="AS258" s="2" t="n">
        <v>0.5075829697413933</v>
      </c>
      <c r="AT258" s="2" t="n">
        <v>3.8276167659595024</v>
      </c>
      <c r="AU258" s="2" t="n">
        <v>308.57104050324915</v>
      </c>
      <c r="AV258" s="2" t="n">
        <v>1.194322862829722e-10</v>
      </c>
      <c r="AW258" s="2" t="n">
        <v>-1.747438799331652e-05</v>
      </c>
      <c r="AX258" s="2" t="n">
        <v>106</v>
      </c>
      <c r="AY258" s="2" t="n">
        <v>8.132905691127235e-07</v>
      </c>
      <c r="AZ258" s="2" t="s">
        <v>131</v>
      </c>
      <c r="BA258" s="2" t="n">
        <v>4.48</v>
      </c>
      <c r="BB258" s="2" t="s">
        <v>132</v>
      </c>
      <c r="BC258" s="2" t="n">
        <v>4</v>
      </c>
      <c r="BD258" s="2" t="s">
        <v>133</v>
      </c>
      <c r="BE258" s="2" t="n">
        <v>3000</v>
      </c>
      <c r="BF258" s="2" t="s">
        <v>134</v>
      </c>
      <c r="BG258" s="2" t="n">
        <v>120</v>
      </c>
    </row>
    <row r="259" customFormat="false" ht="15" hidden="false" customHeight="false" outlineLevel="0" collapsed="false">
      <c r="A259" s="2" t="s">
        <v>392</v>
      </c>
      <c r="B259" s="2" t="s">
        <v>128</v>
      </c>
      <c r="C259" s="2" t="s">
        <v>129</v>
      </c>
      <c r="D259" s="2" t="s">
        <v>285</v>
      </c>
      <c r="E259" s="2" t="n">
        <v>0</v>
      </c>
      <c r="F259" s="2" t="n">
        <v>424.92315227560783</v>
      </c>
      <c r="G259" s="2" t="n">
        <v>310.5788915202056</v>
      </c>
      <c r="H259" s="2" t="n">
        <v>305.0096555785968</v>
      </c>
      <c r="I259" s="2" t="n">
        <v>3.0991009893613937</v>
      </c>
      <c r="J259" s="2" t="n">
        <v>0.0032456949699765456</v>
      </c>
      <c r="K259" s="2" t="n">
        <v>0.0002704745808313788</v>
      </c>
      <c r="L259" s="2" t="n">
        <v>33.32439143613722</v>
      </c>
      <c r="M259" s="2" t="n">
        <v>0.4845776822072009</v>
      </c>
      <c r="N259" s="2" t="n">
        <v>1.6938426264555733</v>
      </c>
      <c r="O259" s="2" t="n">
        <v>5.198875</v>
      </c>
      <c r="P259" s="2" t="n">
        <v>2.5192587975849614</v>
      </c>
      <c r="Q259" s="2" t="n">
        <v>28.056939</v>
      </c>
      <c r="R259" s="2" t="n">
        <v>6.588205004080465</v>
      </c>
      <c r="S259" s="2" t="n">
        <v>80.2424698208067</v>
      </c>
      <c r="T259" s="2" t="n">
        <v>165.59258250464737</v>
      </c>
      <c r="U259" s="2" t="n">
        <v>0.000624584577772978</v>
      </c>
      <c r="V259" s="2" t="n">
        <v>31.10893664335751</v>
      </c>
      <c r="W259" s="2" t="n">
        <v>0.00010127394100768757</v>
      </c>
      <c r="X259" s="2" t="n">
        <v>275.73560797370783</v>
      </c>
      <c r="Y259" s="2" t="n">
        <v>294.04206193527205</v>
      </c>
      <c r="Z259" s="2" t="n">
        <v>17.476583759573295</v>
      </c>
      <c r="AA259" s="2" t="n">
        <v>320.2021312359593</v>
      </c>
      <c r="AB259" s="2" t="n">
        <v>9.623239715753698</v>
      </c>
      <c r="AC259" s="2" t="n">
        <v>130.55854109445525</v>
      </c>
      <c r="AD259" s="2" t="n">
        <v>0.5819169016087482</v>
      </c>
      <c r="AE259" s="2" t="n">
        <v>316.4824046037995</v>
      </c>
      <c r="AF259" s="2" t="n">
        <v>320.80287764156014</v>
      </c>
      <c r="AG259" s="2" t="n">
        <v>311.8807811739943</v>
      </c>
      <c r="AH259" s="2" t="n">
        <v>8.922096467565837</v>
      </c>
      <c r="AI259" s="2" t="n">
        <v>2.703855862386465</v>
      </c>
      <c r="AJ259" s="2" t="n">
        <v>320.2427299725489</v>
      </c>
      <c r="AK259" s="2" t="n">
        <v>320.5772349016099</v>
      </c>
      <c r="AL259" s="2" t="n">
        <v>320.7681418759266</v>
      </c>
      <c r="AM259" s="2" t="n">
        <v>10036640587.32832</v>
      </c>
      <c r="AN259" s="2" t="n">
        <v>10032248441.973717</v>
      </c>
      <c r="AO259" s="2" t="n">
        <v>316.51703813034186</v>
      </c>
      <c r="AP259" s="2" t="n">
        <v>145.58840101011774</v>
      </c>
      <c r="AQ259" s="2" t="n">
        <v>1.8406268712638272</v>
      </c>
      <c r="AR259" s="2" t="n">
        <v>11.538801444342866</v>
      </c>
      <c r="AS259" s="2" t="n">
        <v>1.6504682606739896</v>
      </c>
      <c r="AT259" s="2" t="n">
        <v>2.4811528359185697</v>
      </c>
      <c r="AU259" s="2" t="n">
        <v>303.5591295013099</v>
      </c>
      <c r="AV259" s="2" t="n">
        <v>9.443937187825214e-11</v>
      </c>
      <c r="AW259" s="2" t="n">
        <v>-2.9505977556607812e-05</v>
      </c>
      <c r="AX259" s="2" t="n">
        <v>119</v>
      </c>
      <c r="AY259" s="2" t="n">
        <v>8.388677201764949e-07</v>
      </c>
      <c r="AZ259" s="2" t="s">
        <v>131</v>
      </c>
      <c r="BA259" s="2" t="n">
        <v>4.48</v>
      </c>
      <c r="BB259" s="2" t="s">
        <v>132</v>
      </c>
      <c r="BC259" s="2" t="n">
        <v>4</v>
      </c>
      <c r="BD259" s="2" t="s">
        <v>133</v>
      </c>
      <c r="BE259" s="2" t="n">
        <v>3000</v>
      </c>
      <c r="BF259" s="2" t="s">
        <v>134</v>
      </c>
      <c r="BG259" s="2" t="n">
        <v>120</v>
      </c>
    </row>
    <row r="260" customFormat="false" ht="15" hidden="false" customHeight="false" outlineLevel="0" collapsed="false">
      <c r="A260" s="2" t="s">
        <v>393</v>
      </c>
      <c r="B260" s="2" t="s">
        <v>128</v>
      </c>
      <c r="C260" s="2" t="s">
        <v>129</v>
      </c>
      <c r="D260" s="2" t="s">
        <v>285</v>
      </c>
      <c r="E260" s="2" t="n">
        <v>0</v>
      </c>
      <c r="F260" s="2" t="n">
        <v>844.7858084449426</v>
      </c>
      <c r="G260" s="2" t="n">
        <v>300.51673168130026</v>
      </c>
      <c r="H260" s="2" t="n">
        <v>299.5217077402432</v>
      </c>
      <c r="I260" s="2" t="n">
        <v>1.316794942542345</v>
      </c>
      <c r="J260" s="2" t="n">
        <v>0.00162806305838533</v>
      </c>
      <c r="K260" s="2" t="n">
        <v>0.00013567192153211082</v>
      </c>
      <c r="L260" s="2" t="n">
        <v>24.482986329163964</v>
      </c>
      <c r="M260" s="2" t="n">
        <v>0.852024438230002</v>
      </c>
      <c r="N260" s="2" t="n">
        <v>1.7415625377164952</v>
      </c>
      <c r="O260" s="2" t="n">
        <v>5.198875</v>
      </c>
      <c r="P260" s="2" t="n">
        <v>4.429568551303001</v>
      </c>
      <c r="Q260" s="2" t="n">
        <v>28.056939</v>
      </c>
      <c r="R260" s="2" t="n">
        <v>20.367812632538413</v>
      </c>
      <c r="S260" s="2" t="n">
        <v>43.48101286143072</v>
      </c>
      <c r="T260" s="2" t="n">
        <v>51.03258886770703</v>
      </c>
      <c r="U260" s="2" t="n">
        <v>0.0005781751363076131</v>
      </c>
      <c r="V260" s="2" t="n">
        <v>4.946863458009822</v>
      </c>
      <c r="W260" s="2" t="n">
        <v>8.078039770172616e-06</v>
      </c>
      <c r="X260" s="2" t="n">
        <v>548.1874246005823</v>
      </c>
      <c r="Y260" s="2" t="n">
        <v>286.1419500671168</v>
      </c>
      <c r="Z260" s="2" t="n">
        <v>10.703820781660912</v>
      </c>
      <c r="AA260" s="2" t="n">
        <v>338.8023532361207</v>
      </c>
      <c r="AB260" s="2" t="n">
        <v>38.285621554820466</v>
      </c>
      <c r="AC260" s="2" t="n">
        <v>260.5452775846276</v>
      </c>
      <c r="AD260" s="2" t="n">
        <v>0.5841208033912669</v>
      </c>
      <c r="AE260" s="2" t="n">
        <v>322.9168304585261</v>
      </c>
      <c r="AF260" s="2" t="n">
        <v>339.55248489530777</v>
      </c>
      <c r="AG260" s="2" t="n">
        <v>304.4644117903465</v>
      </c>
      <c r="AH260" s="2" t="n">
        <v>35.08807310496127</v>
      </c>
      <c r="AI260" s="2" t="n">
        <v>10.696382576571745</v>
      </c>
      <c r="AJ260" s="2" t="n">
        <v>337.5928420753981</v>
      </c>
      <c r="AK260" s="2" t="n">
        <v>338.86207816832206</v>
      </c>
      <c r="AL260" s="2" t="n">
        <v>339.4701944173605</v>
      </c>
      <c r="AM260" s="2" t="n">
        <v>10944809427.55695</v>
      </c>
      <c r="AN260" s="2" t="n">
        <v>10873333892.567558</v>
      </c>
      <c r="AO260" s="2" t="n">
        <v>323.4461983513908</v>
      </c>
      <c r="AP260" s="2" t="n">
        <v>289.44296018910745</v>
      </c>
      <c r="AQ260" s="2" t="n">
        <v>3.5979111468079603</v>
      </c>
      <c r="AR260" s="2" t="n">
        <v>21.934208843734417</v>
      </c>
      <c r="AS260" s="2" t="n">
        <v>3.3656194706496416</v>
      </c>
      <c r="AT260" s="2" t="n">
        <v>2.3393961270145662</v>
      </c>
      <c r="AU260" s="2" t="n">
        <v>298.3508634982388</v>
      </c>
      <c r="AV260" s="2" t="n">
        <v>9.287731472795714e-11</v>
      </c>
      <c r="AW260" s="2" t="n">
        <v>-1.900556696524691e-05</v>
      </c>
      <c r="AX260" s="2" t="n">
        <v>206</v>
      </c>
      <c r="AY260" s="2" t="n">
        <v>9.91161300589738e-07</v>
      </c>
      <c r="AZ260" s="2" t="s">
        <v>131</v>
      </c>
      <c r="BA260" s="2" t="n">
        <v>4.48</v>
      </c>
      <c r="BB260" s="2" t="s">
        <v>132</v>
      </c>
      <c r="BC260" s="2" t="n">
        <v>4</v>
      </c>
      <c r="BD260" s="2" t="s">
        <v>133</v>
      </c>
      <c r="BE260" s="2" t="n">
        <v>3000</v>
      </c>
      <c r="BF260" s="2" t="s">
        <v>134</v>
      </c>
      <c r="BG260" s="2" t="n">
        <v>120</v>
      </c>
    </row>
    <row r="261" customFormat="false" ht="15" hidden="false" customHeight="false" outlineLevel="0" collapsed="false">
      <c r="A261" s="2" t="s">
        <v>394</v>
      </c>
      <c r="B261" s="2" t="s">
        <v>128</v>
      </c>
      <c r="C261" s="2" t="s">
        <v>129</v>
      </c>
      <c r="D261" s="2" t="s">
        <v>285</v>
      </c>
      <c r="E261" s="2" t="n">
        <v>0</v>
      </c>
      <c r="F261" s="2" t="n">
        <v>704.7325014664975</v>
      </c>
      <c r="G261" s="2" t="n">
        <v>301.025554669013</v>
      </c>
      <c r="H261" s="2" t="n">
        <v>289.2258830390811</v>
      </c>
      <c r="I261" s="2" t="n">
        <v>3.784575157598952</v>
      </c>
      <c r="J261" s="2" t="n">
        <v>0.003806015250363965</v>
      </c>
      <c r="K261" s="2" t="n">
        <v>0.0003171679375303304</v>
      </c>
      <c r="L261" s="2" t="n">
        <v>32.92222811405017</v>
      </c>
      <c r="M261" s="2" t="n">
        <v>0.6561450729905808</v>
      </c>
      <c r="N261" s="2" t="n">
        <v>0.658020327076907</v>
      </c>
      <c r="O261" s="2" t="n">
        <v>5.198875</v>
      </c>
      <c r="P261" s="2" t="n">
        <v>3.411216216343906</v>
      </c>
      <c r="Q261" s="2" t="n">
        <v>28.056939</v>
      </c>
      <c r="R261" s="2" t="n">
        <v>12.079251730905202</v>
      </c>
      <c r="S261" s="2" t="n">
        <v>81.25706543012117</v>
      </c>
      <c r="T261" s="2" t="n">
        <v>123.8400908198051</v>
      </c>
      <c r="U261" s="2" t="n">
        <v>0.0007232646376552779</v>
      </c>
      <c r="V261" s="2" t="n">
        <v>32.37698238325018</v>
      </c>
      <c r="W261" s="2" t="n">
        <v>0.0001235980829602965</v>
      </c>
      <c r="X261" s="2" t="n">
        <v>457.3058533291205</v>
      </c>
      <c r="Y261" s="2" t="n">
        <v>271.515615085905</v>
      </c>
      <c r="Z261" s="2" t="n">
        <v>20.081385598876018</v>
      </c>
      <c r="AA261" s="2" t="n">
        <v>314.62149587703254</v>
      </c>
      <c r="AB261" s="2" t="n">
        <v>13.595941208019553</v>
      </c>
      <c r="AC261" s="2" t="n">
        <v>216.29978304763657</v>
      </c>
      <c r="AD261" s="2" t="n">
        <v>0.5812967035889404</v>
      </c>
      <c r="AE261" s="2" t="n">
        <v>309.5692786036711</v>
      </c>
      <c r="AF261" s="2" t="n">
        <v>315.6974645794885</v>
      </c>
      <c r="AG261" s="2" t="n">
        <v>303.0900065976953</v>
      </c>
      <c r="AH261" s="2" t="n">
        <v>12.607457981793175</v>
      </c>
      <c r="AI261" s="2" t="n">
        <v>3.8153346578070266</v>
      </c>
      <c r="AJ261" s="2" t="n">
        <v>314.8494222803363</v>
      </c>
      <c r="AK261" s="2" t="n">
        <v>315.38388084408194</v>
      </c>
      <c r="AL261" s="2" t="n">
        <v>315.6526077588063</v>
      </c>
      <c r="AM261" s="2" t="n">
        <v>9192357608.381805</v>
      </c>
      <c r="AN261" s="2" t="n">
        <v>9183990387.839766</v>
      </c>
      <c r="AO261" s="2" t="n">
        <v>309.63976403089094</v>
      </c>
      <c r="AP261" s="2" t="n">
        <v>241.45749055777563</v>
      </c>
      <c r="AQ261" s="2" t="n">
        <v>2.779149800612769</v>
      </c>
      <c r="AR261" s="2" t="n">
        <v>19.452002185241867</v>
      </c>
      <c r="AS261" s="2" t="n">
        <v>2.9265983784647833</v>
      </c>
      <c r="AT261" s="2" t="n">
        <v>2.3421445630046502</v>
      </c>
      <c r="AU261" s="2" t="n">
        <v>287.7833438385524</v>
      </c>
      <c r="AV261" s="2" t="n">
        <v>8.428600040133461e-11</v>
      </c>
      <c r="AW261" s="2" t="n">
        <v>-1.9428029088880103e-05</v>
      </c>
      <c r="AX261" s="2" t="n">
        <v>104</v>
      </c>
      <c r="AY261" s="2" t="n">
        <v>9.097785209633003e-07</v>
      </c>
      <c r="AZ261" s="2" t="s">
        <v>131</v>
      </c>
      <c r="BA261" s="2" t="n">
        <v>4.48</v>
      </c>
      <c r="BB261" s="2" t="s">
        <v>132</v>
      </c>
      <c r="BC261" s="2" t="n">
        <v>4</v>
      </c>
      <c r="BD261" s="2" t="s">
        <v>133</v>
      </c>
      <c r="BE261" s="2" t="n">
        <v>3000</v>
      </c>
      <c r="BF261" s="2" t="s">
        <v>134</v>
      </c>
      <c r="BG261" s="2" t="n">
        <v>120</v>
      </c>
    </row>
    <row r="262" customFormat="false" ht="15" hidden="false" customHeight="false" outlineLevel="0" collapsed="false">
      <c r="A262" s="2" t="s">
        <v>395</v>
      </c>
      <c r="B262" s="2" t="s">
        <v>128</v>
      </c>
      <c r="C262" s="2" t="s">
        <v>129</v>
      </c>
      <c r="D262" s="2" t="s">
        <v>285</v>
      </c>
      <c r="E262" s="2" t="n">
        <v>0</v>
      </c>
      <c r="F262" s="2" t="n">
        <v>631.8048821459976</v>
      </c>
      <c r="G262" s="2" t="n">
        <v>307.61894920336806</v>
      </c>
      <c r="H262" s="2" t="n">
        <v>285.0524081380171</v>
      </c>
      <c r="I262" s="2" t="n">
        <v>4.474742378443782</v>
      </c>
      <c r="J262" s="2" t="n">
        <v>0.004340424310205533</v>
      </c>
      <c r="K262" s="2" t="n">
        <v>0.0003617020258504611</v>
      </c>
      <c r="L262" s="2" t="n">
        <v>33.905036863445105</v>
      </c>
      <c r="M262" s="2" t="n">
        <v>0.42884884361904035</v>
      </c>
      <c r="N262" s="2" t="n">
        <v>1.385961564273571</v>
      </c>
      <c r="O262" s="2" t="n">
        <v>5.198875</v>
      </c>
      <c r="P262" s="2" t="n">
        <v>2.229531531869938</v>
      </c>
      <c r="Q262" s="2" t="n">
        <v>28.056939</v>
      </c>
      <c r="R262" s="2" t="n">
        <v>5.159988986112078</v>
      </c>
      <c r="S262" s="2" t="n">
        <v>101.86848976980106</v>
      </c>
      <c r="T262" s="2" t="n">
        <v>237.53938313121344</v>
      </c>
      <c r="U262" s="2" t="n">
        <v>0.0006579307143178</v>
      </c>
      <c r="V262" s="2" t="n">
        <v>65.17928588605815</v>
      </c>
      <c r="W262" s="2" t="n">
        <v>0.0002837570280658808</v>
      </c>
      <c r="X262" s="2" t="n">
        <v>409.9826106587128</v>
      </c>
      <c r="Y262" s="2" t="n">
        <v>265.6599882968376</v>
      </c>
      <c r="Z262" s="2" t="n">
        <v>22.70402103808637</v>
      </c>
      <c r="AA262" s="2" t="n">
        <v>317.6416798790753</v>
      </c>
      <c r="AB262" s="2" t="n">
        <v>10.022730675707237</v>
      </c>
      <c r="AC262" s="2" t="n">
        <v>181.8421382162365</v>
      </c>
      <c r="AD262" s="2" t="n">
        <v>0.5451018166813071</v>
      </c>
      <c r="AE262" s="2" t="n">
        <v>314.0377535500094</v>
      </c>
      <c r="AF262" s="2" t="n">
        <v>318.5766618125021</v>
      </c>
      <c r="AG262" s="2" t="n">
        <v>309.2576782086813</v>
      </c>
      <c r="AH262" s="2" t="n">
        <v>9.318983603820811</v>
      </c>
      <c r="AI262" s="2" t="n">
        <v>2.8155550645499012</v>
      </c>
      <c r="AJ262" s="2" t="n">
        <v>317.9340497536934</v>
      </c>
      <c r="AK262" s="2" t="n">
        <v>318.3428936219136</v>
      </c>
      <c r="AL262" s="2" t="n">
        <v>318.540677901035</v>
      </c>
      <c r="AM262" s="2" t="n">
        <v>9730536798.676598</v>
      </c>
      <c r="AN262" s="2" t="n">
        <v>9725847329.62394</v>
      </c>
      <c r="AO262" s="2" t="n">
        <v>314.07560125815735</v>
      </c>
      <c r="AP262" s="2" t="n">
        <v>216.47081842780037</v>
      </c>
      <c r="AQ262" s="2" t="n">
        <v>3.819351269220107</v>
      </c>
      <c r="AR262" s="2" t="n">
        <v>26.63954840976283</v>
      </c>
      <c r="AS262" s="2" t="n">
        <v>4.169828218335015</v>
      </c>
      <c r="AT262" s="2" t="n">
        <v>2.2626820788437305</v>
      </c>
      <c r="AU262" s="2" t="n">
        <v>284.2018807025534</v>
      </c>
      <c r="AV262" s="2" t="n">
        <v>8.096662895695773e-11</v>
      </c>
      <c r="AW262" s="2" t="n">
        <v>-2.3275961850144342e-05</v>
      </c>
      <c r="AX262" s="2" t="n">
        <v>96</v>
      </c>
      <c r="AY262" s="2" t="n">
        <v>9.539384109302773e-07</v>
      </c>
      <c r="AZ262" s="2" t="s">
        <v>131</v>
      </c>
      <c r="BA262" s="2" t="n">
        <v>4.48</v>
      </c>
      <c r="BB262" s="2" t="s">
        <v>132</v>
      </c>
      <c r="BC262" s="2" t="n">
        <v>4</v>
      </c>
      <c r="BD262" s="2" t="s">
        <v>133</v>
      </c>
      <c r="BE262" s="2" t="n">
        <v>3000</v>
      </c>
      <c r="BF262" s="2" t="s">
        <v>134</v>
      </c>
      <c r="BG262" s="2" t="n">
        <v>120</v>
      </c>
    </row>
    <row r="263" customFormat="false" ht="15" hidden="false" customHeight="false" outlineLevel="0" collapsed="false">
      <c r="A263" s="2" t="s">
        <v>396</v>
      </c>
      <c r="B263" s="2" t="s">
        <v>128</v>
      </c>
      <c r="C263" s="2" t="s">
        <v>129</v>
      </c>
      <c r="D263" s="2" t="s">
        <v>285</v>
      </c>
      <c r="E263" s="2" t="n">
        <v>0</v>
      </c>
      <c r="F263" s="2" t="n">
        <v>712.3927885917371</v>
      </c>
      <c r="G263" s="2" t="n">
        <v>312.25512984604893</v>
      </c>
      <c r="H263" s="2" t="n">
        <v>312.1469324985675</v>
      </c>
      <c r="I263" s="2" t="n">
        <v>4.401046633044807</v>
      </c>
      <c r="J263" s="2" t="n">
        <v>0.001095670021696725</v>
      </c>
      <c r="K263" s="2" t="n">
        <v>9.130583514139374e-05</v>
      </c>
      <c r="L263" s="2" t="n">
        <v>32.809634172778885</v>
      </c>
      <c r="M263" s="2" t="n">
        <v>0.7679993285817746</v>
      </c>
      <c r="N263" s="2" t="n">
        <v>0.9812080630842871</v>
      </c>
      <c r="O263" s="2" t="n">
        <v>5.198875</v>
      </c>
      <c r="P263" s="2" t="n">
        <v>3.992732509380574</v>
      </c>
      <c r="Q263" s="2" t="n">
        <v>28.056939</v>
      </c>
      <c r="R263" s="2" t="n">
        <v>16.54862705367251</v>
      </c>
      <c r="S263" s="2" t="n">
        <v>37.755296505835915</v>
      </c>
      <c r="T263" s="2" t="n">
        <v>49.160585303579246</v>
      </c>
      <c r="U263" s="2" t="n">
        <v>0.00044811526201392555</v>
      </c>
      <c r="V263" s="2" t="n">
        <v>3.5198545887659347</v>
      </c>
      <c r="W263" s="2" t="n">
        <v>3.868203764937301e-06</v>
      </c>
      <c r="X263" s="2" t="n">
        <v>462.2766672666983</v>
      </c>
      <c r="Y263" s="2" t="n">
        <v>304.4231565845879</v>
      </c>
      <c r="Z263" s="2" t="n">
        <v>22.423977205570264</v>
      </c>
      <c r="AA263" s="2" t="n">
        <v>358.41683466277976</v>
      </c>
      <c r="AB263" s="2" t="n">
        <v>46.16170481673083</v>
      </c>
      <c r="AC263" s="2" t="n">
        <v>211.41602377368008</v>
      </c>
      <c r="AD263" s="2" t="n">
        <v>0.5620623093708341</v>
      </c>
      <c r="AE263" s="2" t="n">
        <v>339.4956252367378</v>
      </c>
      <c r="AF263" s="2" t="n">
        <v>358.83214065535856</v>
      </c>
      <c r="AG263" s="2" t="n">
        <v>316.88362517787806</v>
      </c>
      <c r="AH263" s="2" t="n">
        <v>41.9485154774805</v>
      </c>
      <c r="AI263" s="2" t="n">
        <v>12.782036193352363</v>
      </c>
      <c r="AJ263" s="2" t="n">
        <v>356.80110527364155</v>
      </c>
      <c r="AK263" s="2" t="n">
        <v>358.14000407832964</v>
      </c>
      <c r="AL263" s="2" t="n">
        <v>358.77567345759877</v>
      </c>
      <c r="AM263" s="2" t="n">
        <v>13396918741.774084</v>
      </c>
      <c r="AN263" s="2" t="n">
        <v>13284240490.392569</v>
      </c>
      <c r="AO263" s="2" t="n">
        <v>340.21325555343714</v>
      </c>
      <c r="AP263" s="2" t="n">
        <v>244.08208031681673</v>
      </c>
      <c r="AQ263" s="2" t="n">
        <v>4.6016020215147675</v>
      </c>
      <c r="AR263" s="2" t="n">
        <v>24.130060428281602</v>
      </c>
      <c r="AS263" s="2" t="n">
        <v>3.9343795664071592</v>
      </c>
      <c r="AT263" s="2" t="n">
        <v>2.26217508544203</v>
      </c>
      <c r="AU263" s="2" t="n">
        <v>312.4703392346749</v>
      </c>
      <c r="AV263" s="2" t="n">
        <v>9.144542900685337e-11</v>
      </c>
      <c r="AW263" s="2" t="n">
        <v>1.418988717103549e-05</v>
      </c>
      <c r="AX263" s="2" t="n">
        <v>275</v>
      </c>
      <c r="AY263" s="2" t="n">
        <v>9.433310310669185e-07</v>
      </c>
      <c r="AZ263" s="2" t="s">
        <v>131</v>
      </c>
      <c r="BA263" s="2" t="n">
        <v>4.48</v>
      </c>
      <c r="BB263" s="2" t="s">
        <v>132</v>
      </c>
      <c r="BC263" s="2" t="n">
        <v>4</v>
      </c>
      <c r="BD263" s="2" t="s">
        <v>133</v>
      </c>
      <c r="BE263" s="2" t="n">
        <v>3000</v>
      </c>
      <c r="BF263" s="2" t="s">
        <v>134</v>
      </c>
      <c r="BG263" s="2" t="n">
        <v>120</v>
      </c>
    </row>
    <row r="264" customFormat="false" ht="15" hidden="false" customHeight="false" outlineLevel="0" collapsed="false">
      <c r="A264" s="2" t="s">
        <v>397</v>
      </c>
      <c r="B264" s="2" t="s">
        <v>128</v>
      </c>
      <c r="C264" s="2" t="s">
        <v>129</v>
      </c>
      <c r="D264" s="2" t="s">
        <v>285</v>
      </c>
      <c r="E264" s="2" t="n">
        <v>0</v>
      </c>
      <c r="F264" s="2" t="n">
        <v>461.7067738495987</v>
      </c>
      <c r="G264" s="2" t="n">
        <v>298.6159238622741</v>
      </c>
      <c r="H264" s="2" t="n">
        <v>283.5519573014938</v>
      </c>
      <c r="I264" s="2" t="n">
        <v>2.6023320481287593</v>
      </c>
      <c r="J264" s="2" t="n">
        <v>0.002936661474460285</v>
      </c>
      <c r="K264" s="2" t="n">
        <v>0.0002447217895383571</v>
      </c>
      <c r="L264" s="2" t="n">
        <v>23.674991128118307</v>
      </c>
      <c r="M264" s="2" t="n">
        <v>0.7621286599894219</v>
      </c>
      <c r="N264" s="2" t="n">
        <v>1.36231172485425</v>
      </c>
      <c r="O264" s="2" t="n">
        <v>5.198875</v>
      </c>
      <c r="P264" s="2" t="n">
        <v>3.9622116372025062</v>
      </c>
      <c r="Q264" s="2" t="n">
        <v>28.056939</v>
      </c>
      <c r="R264" s="2" t="n">
        <v>16.296595096697363</v>
      </c>
      <c r="S264" s="2" t="n">
        <v>57.87854959106002</v>
      </c>
      <c r="T264" s="2" t="n">
        <v>75.94327917265747</v>
      </c>
      <c r="U264" s="2" t="n">
        <v>0.0007834730966525007</v>
      </c>
      <c r="V264" s="2" t="n">
        <v>15.45150625170291</v>
      </c>
      <c r="W264" s="2" t="n">
        <v>4.551238027257591e-05</v>
      </c>
      <c r="X264" s="2" t="n">
        <v>299.6047574984215</v>
      </c>
      <c r="Y264" s="2" t="n">
        <v>263.5651906481452</v>
      </c>
      <c r="Z264" s="2" t="n">
        <v>15.588861782889285</v>
      </c>
      <c r="AA264" s="2" t="n">
        <v>309.3185376658597</v>
      </c>
      <c r="AB264" s="2" t="n">
        <v>10.70261380358562</v>
      </c>
      <c r="AC264" s="2" t="n">
        <v>131.37720618601003</v>
      </c>
      <c r="AD264" s="2" t="n">
        <v>0.5389144806925361</v>
      </c>
      <c r="AE264" s="2" t="n">
        <v>305.1103873058166</v>
      </c>
      <c r="AF264" s="2" t="n">
        <v>309.9014863784068</v>
      </c>
      <c r="AG264" s="2" t="n">
        <v>300.0052690849267</v>
      </c>
      <c r="AH264" s="2" t="n">
        <v>9.896217293480106</v>
      </c>
      <c r="AI264" s="2" t="n">
        <v>3.0073159201013735</v>
      </c>
      <c r="AJ264" s="2" t="n">
        <v>309.27845827389973</v>
      </c>
      <c r="AK264" s="2" t="n">
        <v>309.6626102449998</v>
      </c>
      <c r="AL264" s="2" t="n">
        <v>309.8614784766701</v>
      </c>
      <c r="AM264" s="2" t="n">
        <v>8671234988.781614</v>
      </c>
      <c r="AN264" s="2" t="n">
        <v>8666185338.429127</v>
      </c>
      <c r="AO264" s="2" t="n">
        <v>305.15482335742735</v>
      </c>
      <c r="AP264" s="2" t="n">
        <v>158.19131195916657</v>
      </c>
      <c r="AQ264" s="2" t="n">
        <v>2.8257958642110914</v>
      </c>
      <c r="AR264" s="2" t="n">
        <v>20.88695329861489</v>
      </c>
      <c r="AS264" s="2" t="n">
        <v>3.101393083203777</v>
      </c>
      <c r="AT264" s="2" t="n">
        <v>2.3556581451829266</v>
      </c>
      <c r="AU264" s="2" t="n">
        <v>281.7173299910821</v>
      </c>
      <c r="AV264" s="2" t="n">
        <v>7.784251465636773e-11</v>
      </c>
      <c r="AW264" s="2" t="n">
        <v>-2.7549244359975373e-05</v>
      </c>
      <c r="AX264" s="2" t="n">
        <v>126</v>
      </c>
      <c r="AY264" s="2" t="n">
        <v>8.681586791681184e-07</v>
      </c>
      <c r="AZ264" s="2" t="s">
        <v>131</v>
      </c>
      <c r="BA264" s="2" t="n">
        <v>4.48</v>
      </c>
      <c r="BB264" s="2" t="s">
        <v>132</v>
      </c>
      <c r="BC264" s="2" t="n">
        <v>4</v>
      </c>
      <c r="BD264" s="2" t="s">
        <v>133</v>
      </c>
      <c r="BE264" s="2" t="n">
        <v>3000</v>
      </c>
      <c r="BF264" s="2" t="s">
        <v>134</v>
      </c>
      <c r="BG264" s="2" t="n">
        <v>120</v>
      </c>
    </row>
    <row r="265" customFormat="false" ht="15" hidden="false" customHeight="false" outlineLevel="0" collapsed="false">
      <c r="A265" s="2" t="s">
        <v>398</v>
      </c>
      <c r="B265" s="2" t="s">
        <v>128</v>
      </c>
      <c r="C265" s="2" t="s">
        <v>129</v>
      </c>
      <c r="D265" s="2" t="s">
        <v>285</v>
      </c>
      <c r="E265" s="2" t="n">
        <v>0</v>
      </c>
      <c r="F265" s="2" t="n">
        <v>539.9165391542431</v>
      </c>
      <c r="G265" s="2" t="n">
        <v>316.62380580909496</v>
      </c>
      <c r="H265" s="2" t="n">
        <v>310.31439447504147</v>
      </c>
      <c r="I265" s="2" t="n">
        <v>3.438045586596199</v>
      </c>
      <c r="J265" s="2" t="n">
        <v>0.0011860848398625174</v>
      </c>
      <c r="K265" s="2" t="n">
        <v>9.884040332187645e-05</v>
      </c>
      <c r="L265" s="2" t="n">
        <v>26.11242051829703</v>
      </c>
      <c r="M265" s="2" t="n">
        <v>0.6282015327542888</v>
      </c>
      <c r="N265" s="2" t="n">
        <v>0.884203456149755</v>
      </c>
      <c r="O265" s="2" t="n">
        <v>5.198875</v>
      </c>
      <c r="P265" s="2" t="n">
        <v>3.2659412435979536</v>
      </c>
      <c r="Q265" s="2" t="n">
        <v>28.056939</v>
      </c>
      <c r="R265" s="2" t="n">
        <v>11.072310886716373</v>
      </c>
      <c r="S265" s="2" t="n">
        <v>39.02561318160998</v>
      </c>
      <c r="T265" s="2" t="n">
        <v>62.122760208027444</v>
      </c>
      <c r="U265" s="2" t="n">
        <v>0.00046930357326787985</v>
      </c>
      <c r="V265" s="2" t="n">
        <v>6.5383238963894</v>
      </c>
      <c r="W265" s="2" t="n">
        <v>7.778341877250043e-06</v>
      </c>
      <c r="X265" s="2" t="n">
        <v>350.35562167296234</v>
      </c>
      <c r="Y265" s="2" t="n">
        <v>301.7463045621461</v>
      </c>
      <c r="Z265" s="2" t="n">
        <v>18.764573229065554</v>
      </c>
      <c r="AA265" s="2" t="n">
        <v>347.9582801969821</v>
      </c>
      <c r="AB265" s="2" t="n">
        <v>31.334474387887155</v>
      </c>
      <c r="AC265" s="2" t="n">
        <v>155.35114225270917</v>
      </c>
      <c r="AD265" s="2" t="n">
        <v>0.544946536860643</v>
      </c>
      <c r="AE265" s="2" t="n">
        <v>335.03489213050204</v>
      </c>
      <c r="AF265" s="2" t="n">
        <v>348.2950427421692</v>
      </c>
      <c r="AG265" s="2" t="n">
        <v>319.72742373827697</v>
      </c>
      <c r="AH265" s="2" t="n">
        <v>28.56761900389222</v>
      </c>
      <c r="AI265" s="2" t="n">
        <v>8.71125104297172</v>
      </c>
      <c r="AJ265" s="2" t="n">
        <v>346.8694323151643</v>
      </c>
      <c r="AK265" s="2" t="n">
        <v>347.80053928223117</v>
      </c>
      <c r="AL265" s="2" t="n">
        <v>348.2430825433845</v>
      </c>
      <c r="AM265" s="2" t="n">
        <v>12650713605.453714</v>
      </c>
      <c r="AN265" s="2" t="n">
        <v>12599698575.757227</v>
      </c>
      <c r="AO265" s="2" t="n">
        <v>335.373509852034</v>
      </c>
      <c r="AP265" s="2" t="n">
        <v>184.98776824332413</v>
      </c>
      <c r="AQ265" s="2" t="n">
        <v>4.021110001937073</v>
      </c>
      <c r="AR265" s="2" t="n">
        <v>22.059290634855195</v>
      </c>
      <c r="AS265" s="2" t="n">
        <v>3.556287745750843</v>
      </c>
      <c r="AT265" s="2" t="n">
        <v>2.2705842839161083</v>
      </c>
      <c r="AU265" s="2" t="n">
        <v>310.3288355426427</v>
      </c>
      <c r="AV265" s="2" t="n">
        <v>9.456954330744339e-11</v>
      </c>
      <c r="AW265" s="2" t="n">
        <v>-3.348634104093976e-05</v>
      </c>
      <c r="AX265" s="2" t="n">
        <v>294</v>
      </c>
      <c r="AY265" s="2" t="n">
        <v>9.999572512242594e-07</v>
      </c>
      <c r="AZ265" s="2" t="s">
        <v>131</v>
      </c>
      <c r="BA265" s="2" t="n">
        <v>4.48</v>
      </c>
      <c r="BB265" s="2" t="s">
        <v>132</v>
      </c>
      <c r="BC265" s="2" t="n">
        <v>4</v>
      </c>
      <c r="BD265" s="2" t="s">
        <v>133</v>
      </c>
      <c r="BE265" s="2" t="n">
        <v>3000</v>
      </c>
      <c r="BF265" s="2" t="s">
        <v>134</v>
      </c>
      <c r="BG265" s="2" t="n">
        <v>120</v>
      </c>
    </row>
    <row r="266" customFormat="false" ht="15" hidden="false" customHeight="false" outlineLevel="0" collapsed="false">
      <c r="A266" s="2" t="s">
        <v>399</v>
      </c>
      <c r="B266" s="2" t="s">
        <v>128</v>
      </c>
      <c r="C266" s="2" t="s">
        <v>129</v>
      </c>
      <c r="D266" s="2" t="s">
        <v>285</v>
      </c>
      <c r="E266" s="2" t="n">
        <v>0</v>
      </c>
      <c r="F266" s="2" t="n">
        <v>784.2540376584225</v>
      </c>
      <c r="G266" s="2" t="n">
        <v>298.2354716602246</v>
      </c>
      <c r="H266" s="2" t="n">
        <v>308.63477909648185</v>
      </c>
      <c r="I266" s="2" t="n">
        <v>1.2670324301722138</v>
      </c>
      <c r="J266" s="2" t="n">
        <v>0.0031916247154852536</v>
      </c>
      <c r="K266" s="2" t="n">
        <v>0.0002659687262904378</v>
      </c>
      <c r="L266" s="2" t="n">
        <v>35.04355837149311</v>
      </c>
      <c r="M266" s="2" t="n">
        <v>0.7718860621165198</v>
      </c>
      <c r="N266" s="2" t="n">
        <v>1.7926405344733796</v>
      </c>
      <c r="O266" s="2" t="n">
        <v>5.198875</v>
      </c>
      <c r="P266" s="2" t="n">
        <v>4.012939151186022</v>
      </c>
      <c r="Q266" s="2" t="n">
        <v>28.056939</v>
      </c>
      <c r="R266" s="2" t="n">
        <v>16.716551317913986</v>
      </c>
      <c r="S266" s="2" t="n">
        <v>68.55626711366584</v>
      </c>
      <c r="T266" s="2" t="n">
        <v>88.8165630633151</v>
      </c>
      <c r="U266" s="2" t="n">
        <v>0.0007188735404314763</v>
      </c>
      <c r="V266" s="2" t="n">
        <v>14.098134057898122</v>
      </c>
      <c r="W266" s="2" t="n">
        <v>4.513134714284058e-05</v>
      </c>
      <c r="X266" s="2" t="n">
        <v>508.9079348148139</v>
      </c>
      <c r="Y266" s="2" t="n">
        <v>299.2997633167322</v>
      </c>
      <c r="Z266" s="2" t="n">
        <v>10.514723234654411</v>
      </c>
      <c r="AA266" s="2" t="n">
        <v>318.01519338801785</v>
      </c>
      <c r="AB266" s="2" t="n">
        <v>19.77972172779323</v>
      </c>
      <c r="AC266" s="2" t="n">
        <v>263.88109569911444</v>
      </c>
      <c r="AD266" s="2" t="n">
        <v>0.6372613699926121</v>
      </c>
      <c r="AE266" s="2" t="n">
        <v>310.3654759482695</v>
      </c>
      <c r="AF266" s="2" t="n">
        <v>319.230016696496</v>
      </c>
      <c r="AG266" s="2" t="n">
        <v>300.94918427978973</v>
      </c>
      <c r="AH266" s="2" t="n">
        <v>18.28083241670629</v>
      </c>
      <c r="AI266" s="2" t="n">
        <v>5.547043057335376</v>
      </c>
      <c r="AJ266" s="2" t="n">
        <v>318.0847333042442</v>
      </c>
      <c r="AK266" s="2" t="n">
        <v>318.76826616962757</v>
      </c>
      <c r="AL266" s="2" t="n">
        <v>319.15833575800195</v>
      </c>
      <c r="AM266" s="2" t="n">
        <v>9296613645.239052</v>
      </c>
      <c r="AN266" s="2" t="n">
        <v>9278838654.452055</v>
      </c>
      <c r="AO266" s="2" t="n">
        <v>310.5140070589821</v>
      </c>
      <c r="AP266" s="2" t="n">
        <v>268.70338958222175</v>
      </c>
      <c r="AQ266" s="2" t="n">
        <v>0.6358176038751068</v>
      </c>
      <c r="AR266" s="2" t="n">
        <v>3.937549808586981</v>
      </c>
      <c r="AS266" s="2" t="n">
        <v>0.24897783577842003</v>
      </c>
      <c r="AT266" s="2" t="n">
        <v>5.277141600469393</v>
      </c>
      <c r="AU266" s="2" t="n">
        <v>305.9554824449085</v>
      </c>
      <c r="AV266" s="2" t="n">
        <v>8.72799432727334e-11</v>
      </c>
      <c r="AW266" s="2" t="n">
        <v>-1.804572781026431e-05</v>
      </c>
      <c r="AX266" s="2" t="n">
        <v>118</v>
      </c>
      <c r="AY266" s="2" t="n">
        <v>9.522549362372956e-07</v>
      </c>
      <c r="AZ266" s="2" t="s">
        <v>131</v>
      </c>
      <c r="BA266" s="2" t="n">
        <v>4.48</v>
      </c>
      <c r="BB266" s="2" t="s">
        <v>132</v>
      </c>
      <c r="BC266" s="2" t="n">
        <v>4</v>
      </c>
      <c r="BD266" s="2" t="s">
        <v>133</v>
      </c>
      <c r="BE266" s="2" t="n">
        <v>3000</v>
      </c>
      <c r="BF266" s="2" t="s">
        <v>134</v>
      </c>
      <c r="BG266" s="2" t="n">
        <v>120</v>
      </c>
    </row>
    <row r="267" customFormat="false" ht="15" hidden="false" customHeight="false" outlineLevel="0" collapsed="false">
      <c r="A267" s="2" t="s">
        <v>400</v>
      </c>
      <c r="B267" s="2" t="s">
        <v>128</v>
      </c>
      <c r="C267" s="2" t="s">
        <v>129</v>
      </c>
      <c r="D267" s="2" t="s">
        <v>285</v>
      </c>
      <c r="E267" s="2" t="n">
        <v>0</v>
      </c>
      <c r="F267" s="2" t="n">
        <v>612.6121402946657</v>
      </c>
      <c r="G267" s="2" t="n">
        <v>312.9106795264186</v>
      </c>
      <c r="H267" s="2" t="n">
        <v>301.8771366201452</v>
      </c>
      <c r="I267" s="2" t="n">
        <v>3.0023373308494827</v>
      </c>
      <c r="J267" s="2" t="n">
        <v>0.0038357746913697034</v>
      </c>
      <c r="K267" s="2" t="n">
        <v>0.0003196478909474753</v>
      </c>
      <c r="L267" s="2" t="n">
        <v>22.804076373997983</v>
      </c>
      <c r="M267" s="2" t="n">
        <v>0.43580338754895936</v>
      </c>
      <c r="N267" s="2" t="n">
        <v>0.9575821288692166</v>
      </c>
      <c r="O267" s="2" t="n">
        <v>5.198875</v>
      </c>
      <c r="P267" s="2" t="n">
        <v>2.265687336443596</v>
      </c>
      <c r="Q267" s="2" t="n">
        <v>28.056939</v>
      </c>
      <c r="R267" s="2" t="n">
        <v>5.3287027091541574</v>
      </c>
      <c r="S267" s="2" t="n">
        <v>100.8013126567927</v>
      </c>
      <c r="T267" s="2" t="n">
        <v>231.29997502708363</v>
      </c>
      <c r="U267" s="2" t="n">
        <v>0.000587590469733547</v>
      </c>
      <c r="V267" s="2" t="n">
        <v>62.356781097960344</v>
      </c>
      <c r="W267" s="2" t="n">
        <v>0.00023990628161568405</v>
      </c>
      <c r="X267" s="2" t="n">
        <v>397.52830612219054</v>
      </c>
      <c r="Y267" s="2" t="n">
        <v>289.5238935965765</v>
      </c>
      <c r="Z267" s="2" t="n">
        <v>17.108881857228035</v>
      </c>
      <c r="AA267" s="2" t="n">
        <v>324.5797738154191</v>
      </c>
      <c r="AB267" s="2" t="n">
        <v>11.669094289000498</v>
      </c>
      <c r="AC267" s="2" t="n">
        <v>187.0968691579113</v>
      </c>
      <c r="AD267" s="2" t="n">
        <v>0.5784249244725229</v>
      </c>
      <c r="AE267" s="2" t="n">
        <v>320.2039922063387</v>
      </c>
      <c r="AF267" s="2" t="n">
        <v>325.50316216174275</v>
      </c>
      <c r="AG267" s="2" t="n">
        <v>314.63328446080266</v>
      </c>
      <c r="AH267" s="2" t="n">
        <v>10.869877700940094</v>
      </c>
      <c r="AI267" s="2" t="n">
        <v>3.2933715909076184</v>
      </c>
      <c r="AJ267" s="2" t="n">
        <v>324.7681359040351</v>
      </c>
      <c r="AK267" s="2" t="n">
        <v>325.2445455671964</v>
      </c>
      <c r="AL267" s="2" t="n">
        <v>325.46479701436516</v>
      </c>
      <c r="AM267" s="2" t="n">
        <v>10519193707.421572</v>
      </c>
      <c r="AN267" s="2" t="n">
        <v>10512523244.253239</v>
      </c>
      <c r="AO267" s="2" t="n">
        <v>320.2547745171502</v>
      </c>
      <c r="AP267" s="2" t="n">
        <v>209.89494563251662</v>
      </c>
      <c r="AQ267" s="2" t="n">
        <v>2.785490477012148</v>
      </c>
      <c r="AR267" s="2" t="n">
        <v>17.376141820955393</v>
      </c>
      <c r="AS267" s="2" t="n">
        <v>2.6364991857244906</v>
      </c>
      <c r="AT267" s="2" t="n">
        <v>2.3560056409145442</v>
      </c>
      <c r="AU267" s="2" t="n">
        <v>300.74298821426686</v>
      </c>
      <c r="AV267" s="2" t="n">
        <v>8.981828614196273e-11</v>
      </c>
      <c r="AW267" s="2" t="n">
        <v>-2.3606207950340745e-05</v>
      </c>
      <c r="AX267" s="2" t="n">
        <v>106</v>
      </c>
      <c r="AY267" s="2" t="n">
        <v>9.495790322944231e-07</v>
      </c>
      <c r="AZ267" s="2" t="s">
        <v>131</v>
      </c>
      <c r="BA267" s="2" t="n">
        <v>4.48</v>
      </c>
      <c r="BB267" s="2" t="s">
        <v>132</v>
      </c>
      <c r="BC267" s="2" t="n">
        <v>4</v>
      </c>
      <c r="BD267" s="2" t="s">
        <v>133</v>
      </c>
      <c r="BE267" s="2" t="n">
        <v>3000</v>
      </c>
      <c r="BF267" s="2" t="s">
        <v>134</v>
      </c>
      <c r="BG267" s="2" t="n">
        <v>120</v>
      </c>
    </row>
    <row r="268" customFormat="false" ht="15" hidden="false" customHeight="false" outlineLevel="0" collapsed="false">
      <c r="A268" s="2" t="s">
        <v>401</v>
      </c>
      <c r="B268" s="2" t="s">
        <v>128</v>
      </c>
      <c r="C268" s="2" t="s">
        <v>129</v>
      </c>
      <c r="D268" s="2" t="s">
        <v>285</v>
      </c>
      <c r="E268" s="2" t="n">
        <v>0</v>
      </c>
      <c r="F268" s="2" t="n">
        <v>710.1379205145381</v>
      </c>
      <c r="G268" s="2" t="n">
        <v>296.98967726126915</v>
      </c>
      <c r="H268" s="2" t="n">
        <v>303.63214575097</v>
      </c>
      <c r="I268" s="2" t="n">
        <v>1.6836120320473285</v>
      </c>
      <c r="J268" s="2" t="n">
        <v>0.002815521440630627</v>
      </c>
      <c r="K268" s="2" t="n">
        <v>0.00023462678671921892</v>
      </c>
      <c r="L268" s="2" t="n">
        <v>24.89137934647924</v>
      </c>
      <c r="M268" s="2" t="n">
        <v>0.5448489990144847</v>
      </c>
      <c r="N268" s="2" t="n">
        <v>1.066866165983341</v>
      </c>
      <c r="O268" s="2" t="n">
        <v>5.198875</v>
      </c>
      <c r="P268" s="2" t="n">
        <v>2.832601839751429</v>
      </c>
      <c r="Q268" s="2" t="n">
        <v>28.056939</v>
      </c>
      <c r="R268" s="2" t="n">
        <v>8.328995024480514</v>
      </c>
      <c r="S268" s="2" t="n">
        <v>59.042958331158054</v>
      </c>
      <c r="T268" s="2" t="n">
        <v>108.3657278217527</v>
      </c>
      <c r="U268" s="2" t="n">
        <v>0.0007363403013041737</v>
      </c>
      <c r="V268" s="2" t="n">
        <v>31.350564687709632</v>
      </c>
      <c r="W268" s="2" t="n">
        <v>8.853378841938203e-05</v>
      </c>
      <c r="X268" s="2" t="n">
        <v>460.81346758732735</v>
      </c>
      <c r="Y268" s="2" t="n">
        <v>292.05234708953935</v>
      </c>
      <c r="Z268" s="2" t="n">
        <v>12.097725721779849</v>
      </c>
      <c r="AA268" s="2" t="n">
        <v>316.89964096430435</v>
      </c>
      <c r="AB268" s="2" t="n">
        <v>19.909963703035203</v>
      </c>
      <c r="AC268" s="2" t="n">
        <v>234.31796609614585</v>
      </c>
      <c r="AD268" s="2" t="n">
        <v>0.6249265302938581</v>
      </c>
      <c r="AE268" s="2" t="n">
        <v>309.01832036377823</v>
      </c>
      <c r="AF268" s="2" t="n">
        <v>317.9289995494885</v>
      </c>
      <c r="AG268" s="2" t="n">
        <v>299.52398727319724</v>
      </c>
      <c r="AH268" s="2" t="n">
        <v>18.405012276291245</v>
      </c>
      <c r="AI268" s="2" t="n">
        <v>5.5949082129208945</v>
      </c>
      <c r="AJ268" s="2" t="n">
        <v>316.7990113167495</v>
      </c>
      <c r="AK268" s="2" t="n">
        <v>317.47839392574224</v>
      </c>
      <c r="AL268" s="2" t="n">
        <v>317.86665483878517</v>
      </c>
      <c r="AM268" s="2" t="n">
        <v>9136709132.816244</v>
      </c>
      <c r="AN268" s="2" t="n">
        <v>9118783622.152842</v>
      </c>
      <c r="AO268" s="2" t="n">
        <v>309.1700739502449</v>
      </c>
      <c r="AP268" s="2" t="n">
        <v>243.30951088610885</v>
      </c>
      <c r="AQ268" s="2" t="n">
        <v>1.0992370823524016</v>
      </c>
      <c r="AR268" s="2" t="n">
        <v>7.117499847474071</v>
      </c>
      <c r="AS268" s="2" t="n">
        <v>0.774854415917189</v>
      </c>
      <c r="AT268" s="2" t="n">
        <v>3.1616949160143584</v>
      </c>
      <c r="AU268" s="2" t="n">
        <v>301.04683311577367</v>
      </c>
      <c r="AV268" s="2" t="n">
        <v>8.181274324670083e-11</v>
      </c>
      <c r="AW268" s="2" t="n">
        <v>-1.8874395464607004e-05</v>
      </c>
      <c r="AX268" s="2" t="n">
        <v>130</v>
      </c>
      <c r="AY268" s="2" t="n">
        <v>9.079375331566553e-07</v>
      </c>
      <c r="AZ268" s="2" t="s">
        <v>131</v>
      </c>
      <c r="BA268" s="2" t="n">
        <v>4.48</v>
      </c>
      <c r="BB268" s="2" t="s">
        <v>132</v>
      </c>
      <c r="BC268" s="2" t="n">
        <v>4</v>
      </c>
      <c r="BD268" s="2" t="s">
        <v>133</v>
      </c>
      <c r="BE268" s="2" t="n">
        <v>3000</v>
      </c>
      <c r="BF268" s="2" t="s">
        <v>134</v>
      </c>
      <c r="BG268" s="2" t="n">
        <v>120</v>
      </c>
    </row>
    <row r="269" customFormat="false" ht="15" hidden="false" customHeight="false" outlineLevel="0" collapsed="false">
      <c r="A269" s="2" t="s">
        <v>402</v>
      </c>
      <c r="B269" s="2" t="s">
        <v>128</v>
      </c>
      <c r="C269" s="2" t="s">
        <v>129</v>
      </c>
      <c r="D269" s="2" t="s">
        <v>285</v>
      </c>
      <c r="E269" s="2" t="n">
        <v>0</v>
      </c>
      <c r="F269" s="2" t="n">
        <v>895.8535012837485</v>
      </c>
      <c r="G269" s="2" t="n">
        <v>298.1021951464812</v>
      </c>
      <c r="H269" s="2" t="n">
        <v>307.48343079043104</v>
      </c>
      <c r="I269" s="2" t="n">
        <v>3.3503598065710705</v>
      </c>
      <c r="J269" s="2" t="n">
        <v>0.001406641332019554</v>
      </c>
      <c r="K269" s="2" t="n">
        <v>0.0001172201110016295</v>
      </c>
      <c r="L269" s="2" t="n">
        <v>32.40209743744876</v>
      </c>
      <c r="M269" s="2" t="n">
        <v>0.41972497289216515</v>
      </c>
      <c r="N269" s="2" t="n">
        <v>0.9007774320741916</v>
      </c>
      <c r="O269" s="2" t="n">
        <v>5.198875</v>
      </c>
      <c r="P269" s="2" t="n">
        <v>2.1820976684447553</v>
      </c>
      <c r="Q269" s="2" t="n">
        <v>28.056939</v>
      </c>
      <c r="R269" s="2" t="n">
        <v>4.942764370042532</v>
      </c>
      <c r="S269" s="2" t="n">
        <v>39.283524223676736</v>
      </c>
      <c r="T269" s="2" t="n">
        <v>93.59348802380975</v>
      </c>
      <c r="U269" s="2" t="n">
        <v>0.0005529180572272193</v>
      </c>
      <c r="V269" s="2" t="n">
        <v>24.58955445137467</v>
      </c>
      <c r="W269" s="2" t="n">
        <v>3.469276191298798e-05</v>
      </c>
      <c r="X269" s="2" t="n">
        <v>581.3256079575334</v>
      </c>
      <c r="Y269" s="2" t="n">
        <v>297.6265395507104</v>
      </c>
      <c r="Z269" s="2" t="n">
        <v>18.431367264970067</v>
      </c>
      <c r="AA269" s="2" t="n">
        <v>346.3479371851418</v>
      </c>
      <c r="AB269" s="2" t="n">
        <v>48.24574203866058</v>
      </c>
      <c r="AC269" s="2" t="n">
        <v>283.6734212543293</v>
      </c>
      <c r="AD269" s="2" t="n">
        <v>0.5997188901502875</v>
      </c>
      <c r="AE269" s="2" t="n">
        <v>326.38519913324</v>
      </c>
      <c r="AF269" s="2" t="n">
        <v>347.074167691508</v>
      </c>
      <c r="AG269" s="2" t="n">
        <v>303.010880764017</v>
      </c>
      <c r="AH269" s="2" t="n">
        <v>44.06328692749105</v>
      </c>
      <c r="AI269" s="2" t="n">
        <v>13.427357602567835</v>
      </c>
      <c r="AJ269" s="2" t="n">
        <v>344.74606542118636</v>
      </c>
      <c r="AK269" s="2" t="n">
        <v>346.2501462652315</v>
      </c>
      <c r="AL269" s="2" t="n">
        <v>346.975672915724</v>
      </c>
      <c r="AM269" s="2" t="n">
        <v>11463059525.182129</v>
      </c>
      <c r="AN269" s="2" t="n">
        <v>11348065264.613575</v>
      </c>
      <c r="AO269" s="2" t="n">
        <v>327.20892188088897</v>
      </c>
      <c r="AP269" s="2" t="n">
        <v>306.93992100157766</v>
      </c>
      <c r="AQ269" s="2" t="n">
        <v>3.0947574457300195</v>
      </c>
      <c r="AR269" s="2" t="n">
        <v>17.452660123971526</v>
      </c>
      <c r="AS269" s="2" t="n">
        <v>2.7192060640293945</v>
      </c>
      <c r="AT269" s="2" t="n">
        <v>2.3312813717325525</v>
      </c>
      <c r="AU269" s="2" t="n">
        <v>306.8384958521195</v>
      </c>
      <c r="AV269" s="2" t="n">
        <v>8.174765753210522e-11</v>
      </c>
      <c r="AW269" s="2" t="n">
        <v>-2.135718815803931e-05</v>
      </c>
      <c r="AX269" s="2" t="n">
        <v>206</v>
      </c>
      <c r="AY269" s="2" t="n">
        <v>9.829645364334283e-07</v>
      </c>
      <c r="AZ269" s="2" t="s">
        <v>131</v>
      </c>
      <c r="BA269" s="2" t="n">
        <v>4.48</v>
      </c>
      <c r="BB269" s="2" t="s">
        <v>132</v>
      </c>
      <c r="BC269" s="2" t="n">
        <v>4</v>
      </c>
      <c r="BD269" s="2" t="s">
        <v>133</v>
      </c>
      <c r="BE269" s="2" t="n">
        <v>3000</v>
      </c>
      <c r="BF269" s="2" t="s">
        <v>134</v>
      </c>
      <c r="BG269" s="2" t="n">
        <v>120</v>
      </c>
    </row>
    <row r="270" customFormat="false" ht="15" hidden="false" customHeight="false" outlineLevel="0" collapsed="false">
      <c r="A270" s="2" t="s">
        <v>403</v>
      </c>
      <c r="B270" s="2" t="s">
        <v>128</v>
      </c>
      <c r="C270" s="2" t="s">
        <v>129</v>
      </c>
      <c r="D270" s="2" t="s">
        <v>285</v>
      </c>
      <c r="E270" s="2" t="n">
        <v>0</v>
      </c>
      <c r="F270" s="2" t="n">
        <v>757.8895329228924</v>
      </c>
      <c r="G270" s="2" t="n">
        <v>309.966876223687</v>
      </c>
      <c r="H270" s="2" t="n">
        <v>312.42313520199514</v>
      </c>
      <c r="I270" s="2" t="n">
        <v>3.4743902777469597</v>
      </c>
      <c r="J270" s="2" t="n">
        <v>0.0025818137888329634</v>
      </c>
      <c r="K270" s="2" t="n">
        <v>0.00021515114906941362</v>
      </c>
      <c r="L270" s="2" t="n">
        <v>30.979218610136122</v>
      </c>
      <c r="M270" s="2" t="n">
        <v>0.7101982137257143</v>
      </c>
      <c r="N270" s="2" t="n">
        <v>1.80118759760193</v>
      </c>
      <c r="O270" s="2" t="n">
        <v>5.198875</v>
      </c>
      <c r="P270" s="2" t="n">
        <v>3.6922317383832737</v>
      </c>
      <c r="Q270" s="2" t="n">
        <v>28.056939</v>
      </c>
      <c r="R270" s="2" t="n">
        <v>14.151401056204216</v>
      </c>
      <c r="S270" s="2" t="n">
        <v>71.01765222175922</v>
      </c>
      <c r="T270" s="2" t="n">
        <v>99.99694571068993</v>
      </c>
      <c r="U270" s="2" t="n">
        <v>0.000561366441127933</v>
      </c>
      <c r="V270" s="2" t="n">
        <v>10.256512433735642</v>
      </c>
      <c r="W270" s="2" t="n">
        <v>2.656008548320503e-05</v>
      </c>
      <c r="X270" s="2" t="n">
        <v>491.79982314039523</v>
      </c>
      <c r="Y270" s="2" t="n">
        <v>304.82729845209616</v>
      </c>
      <c r="Z270" s="2" t="n">
        <v>18.902683055438448</v>
      </c>
      <c r="AA270" s="2" t="n">
        <v>332.7140171409616</v>
      </c>
      <c r="AB270" s="2" t="n">
        <v>22.747140917274578</v>
      </c>
      <c r="AC270" s="2" t="n">
        <v>245.48672708079832</v>
      </c>
      <c r="AD270" s="2" t="n">
        <v>0.6134627315863396</v>
      </c>
      <c r="AE270" s="2" t="n">
        <v>323.5915792339648</v>
      </c>
      <c r="AF270" s="2" t="n">
        <v>333.7130679707224</v>
      </c>
      <c r="AG270" s="2" t="n">
        <v>312.68541849357695</v>
      </c>
      <c r="AH270" s="2" t="n">
        <v>21.027649477145474</v>
      </c>
      <c r="AI270" s="2" t="n">
        <v>6.386329320353186</v>
      </c>
      <c r="AJ270" s="2" t="n">
        <v>332.43793475013507</v>
      </c>
      <c r="AK270" s="2" t="n">
        <v>333.234009236633</v>
      </c>
      <c r="AL270" s="2" t="n">
        <v>333.65232109785984</v>
      </c>
      <c r="AM270" s="2" t="n">
        <v>10990107139.49558</v>
      </c>
      <c r="AN270" s="2" t="n">
        <v>10964500358.130478</v>
      </c>
      <c r="AO270" s="2" t="n">
        <v>323.7803450588182</v>
      </c>
      <c r="AP270" s="2" t="n">
        <v>259.6703066181287</v>
      </c>
      <c r="AQ270" s="2" t="n">
        <v>1.8624409789137446</v>
      </c>
      <c r="AR270" s="2" t="n">
        <v>10.714491424571916</v>
      </c>
      <c r="AS270" s="2" t="n">
        <v>1.6066909818550772</v>
      </c>
      <c r="AT270" s="2" t="n">
        <v>2.405244629952729</v>
      </c>
      <c r="AU270" s="2" t="n">
        <v>311.5915183150819</v>
      </c>
      <c r="AV270" s="2" t="n">
        <v>1.0114320048160153e-10</v>
      </c>
      <c r="AW270" s="2" t="n">
        <v>-1.727921031427828e-05</v>
      </c>
      <c r="AX270" s="2" t="n">
        <v>142</v>
      </c>
      <c r="AY270" s="2" t="n">
        <v>8.678321137267631e-07</v>
      </c>
      <c r="AZ270" s="2" t="s">
        <v>131</v>
      </c>
      <c r="BA270" s="2" t="n">
        <v>4.48</v>
      </c>
      <c r="BB270" s="2" t="s">
        <v>132</v>
      </c>
      <c r="BC270" s="2" t="n">
        <v>4</v>
      </c>
      <c r="BD270" s="2" t="s">
        <v>133</v>
      </c>
      <c r="BE270" s="2" t="n">
        <v>3000</v>
      </c>
      <c r="BF270" s="2" t="s">
        <v>134</v>
      </c>
      <c r="BG270" s="2" t="n">
        <v>120</v>
      </c>
    </row>
    <row r="271" customFormat="false" ht="15" hidden="false" customHeight="false" outlineLevel="0" collapsed="false">
      <c r="A271" s="2" t="s">
        <v>404</v>
      </c>
      <c r="B271" s="2" t="s">
        <v>128</v>
      </c>
      <c r="C271" s="2" t="s">
        <v>129</v>
      </c>
      <c r="D271" s="2" t="s">
        <v>285</v>
      </c>
      <c r="E271" s="2" t="n">
        <v>0</v>
      </c>
      <c r="F271" s="2" t="n">
        <v>643.0499099151607</v>
      </c>
      <c r="G271" s="2" t="n">
        <v>316.1107264634182</v>
      </c>
      <c r="H271" s="2" t="n">
        <v>293.31987635489685</v>
      </c>
      <c r="I271" s="2" t="n">
        <v>1.9689405476659152</v>
      </c>
      <c r="J271" s="2" t="n">
        <v>0.00399752773419087</v>
      </c>
      <c r="K271" s="2" t="n">
        <v>0.0003331273111825725</v>
      </c>
      <c r="L271" s="2" t="n">
        <v>26.47366115968025</v>
      </c>
      <c r="M271" s="2" t="n">
        <v>0.5580622970724971</v>
      </c>
      <c r="N271" s="2" t="n">
        <v>1.0065446145721526</v>
      </c>
      <c r="O271" s="2" t="n">
        <v>5.198875</v>
      </c>
      <c r="P271" s="2" t="n">
        <v>2.9012961246927786</v>
      </c>
      <c r="Q271" s="2" t="n">
        <v>28.056939</v>
      </c>
      <c r="R271" s="2" t="n">
        <v>8.737871481204712</v>
      </c>
      <c r="S271" s="2" t="n">
        <v>110.51980064122785</v>
      </c>
      <c r="T271" s="2" t="n">
        <v>198.0420487479561</v>
      </c>
      <c r="U271" s="2" t="n">
        <v>0.0005585206492421047</v>
      </c>
      <c r="V271" s="2" t="n">
        <v>32.82855657462118</v>
      </c>
      <c r="W271" s="2" t="n">
        <v>0.0001316279492281868</v>
      </c>
      <c r="X271" s="2" t="n">
        <v>417.2795878933171</v>
      </c>
      <c r="Y271" s="2" t="n">
        <v>277.3009245786977</v>
      </c>
      <c r="Z271" s="2" t="n">
        <v>13.181974081130477</v>
      </c>
      <c r="AA271" s="2" t="n">
        <v>327.1535267985461</v>
      </c>
      <c r="AB271" s="2" t="n">
        <v>11.042800335127936</v>
      </c>
      <c r="AC271" s="2" t="n">
        <v>184.52150451972972</v>
      </c>
      <c r="AD271" s="2" t="n">
        <v>0.5434609989837162</v>
      </c>
      <c r="AE271" s="2" t="n">
        <v>323.0534054084106</v>
      </c>
      <c r="AF271" s="2" t="n">
        <v>328.07405767026876</v>
      </c>
      <c r="AG271" s="2" t="n">
        <v>317.77487529497444</v>
      </c>
      <c r="AH271" s="2" t="n">
        <v>10.299182375294322</v>
      </c>
      <c r="AI271" s="2" t="n">
        <v>3.118437641118698</v>
      </c>
      <c r="AJ271" s="2" t="n">
        <v>327.3748579090749</v>
      </c>
      <c r="AK271" s="2" t="n">
        <v>327.8302319201724</v>
      </c>
      <c r="AL271" s="2" t="n">
        <v>328.03769684567936</v>
      </c>
      <c r="AM271" s="2" t="n">
        <v>10897828350.772335</v>
      </c>
      <c r="AN271" s="2" t="n">
        <v>10891740705.408272</v>
      </c>
      <c r="AO271" s="2" t="n">
        <v>323.09853645206675</v>
      </c>
      <c r="AP271" s="2" t="n">
        <v>220.32362240767145</v>
      </c>
      <c r="AQ271" s="2" t="n">
        <v>4.2595801996113325</v>
      </c>
      <c r="AR271" s="2" t="n">
        <v>27.265116532177995</v>
      </c>
      <c r="AS271" s="2" t="n">
        <v>4.277461824785719</v>
      </c>
      <c r="AT271" s="2" t="n">
        <v>2.280490867141858</v>
      </c>
      <c r="AU271" s="2" t="n">
        <v>292.5169061587831</v>
      </c>
      <c r="AV271" s="2" t="n">
        <v>8.643382898299023e-11</v>
      </c>
      <c r="AW271" s="2" t="n">
        <v>-2.0213017973438775e-05</v>
      </c>
      <c r="AX271" s="2" t="n">
        <v>103</v>
      </c>
      <c r="AY271" s="2" t="n">
        <v>8.473344905723934e-07</v>
      </c>
      <c r="AZ271" s="2" t="s">
        <v>131</v>
      </c>
      <c r="BA271" s="2" t="n">
        <v>4.48</v>
      </c>
      <c r="BB271" s="2" t="s">
        <v>132</v>
      </c>
      <c r="BC271" s="2" t="n">
        <v>4</v>
      </c>
      <c r="BD271" s="2" t="s">
        <v>133</v>
      </c>
      <c r="BE271" s="2" t="n">
        <v>3000</v>
      </c>
      <c r="BF271" s="2" t="s">
        <v>134</v>
      </c>
      <c r="BG271" s="2" t="n">
        <v>120</v>
      </c>
    </row>
    <row r="272" customFormat="false" ht="15" hidden="false" customHeight="false" outlineLevel="0" collapsed="false">
      <c r="A272" s="2" t="s">
        <v>405</v>
      </c>
      <c r="B272" s="2" t="s">
        <v>128</v>
      </c>
      <c r="C272" s="2" t="s">
        <v>129</v>
      </c>
      <c r="D272" s="2" t="s">
        <v>285</v>
      </c>
      <c r="E272" s="2" t="n">
        <v>0</v>
      </c>
      <c r="F272" s="2" t="n">
        <v>464.92171199874446</v>
      </c>
      <c r="G272" s="2" t="n">
        <v>292.32951184129826</v>
      </c>
      <c r="H272" s="2" t="n">
        <v>310.1534675886741</v>
      </c>
      <c r="I272" s="2" t="n">
        <v>0.5095729336016643</v>
      </c>
      <c r="J272" s="2" t="n">
        <v>0.0021438214986916077</v>
      </c>
      <c r="K272" s="2" t="n">
        <v>0.00017865179155763397</v>
      </c>
      <c r="L272" s="2" t="n">
        <v>20.81642274758594</v>
      </c>
      <c r="M272" s="2" t="n">
        <v>0.7430204048728027</v>
      </c>
      <c r="N272" s="2" t="n">
        <v>1.3266476633818038</v>
      </c>
      <c r="O272" s="2" t="n">
        <v>5.198875</v>
      </c>
      <c r="P272" s="2" t="n">
        <v>3.8628702073830925</v>
      </c>
      <c r="Q272" s="2" t="n">
        <v>28.056939</v>
      </c>
      <c r="R272" s="2" t="n">
        <v>15.489655862124243</v>
      </c>
      <c r="S272" s="2" t="n">
        <v>40.01338594025069</v>
      </c>
      <c r="T272" s="2" t="n">
        <v>53.85233794097562</v>
      </c>
      <c r="U272" s="2" t="n">
        <v>0.0008273154986594539</v>
      </c>
      <c r="V272" s="2" t="n">
        <v>12.599198529816357</v>
      </c>
      <c r="W272" s="2" t="n">
        <v>2.7091707797897697e-05</v>
      </c>
      <c r="X272" s="2" t="n">
        <v>301.6909533679692</v>
      </c>
      <c r="Y272" s="2" t="n">
        <v>301.51160969469436</v>
      </c>
      <c r="Z272" s="2" t="n">
        <v>7.636377147686325</v>
      </c>
      <c r="AA272" s="2" t="n">
        <v>310.55522076903503</v>
      </c>
      <c r="AB272" s="2" t="n">
        <v>18.225708927736775</v>
      </c>
      <c r="AC272" s="2" t="n">
        <v>163.32374650578265</v>
      </c>
      <c r="AD272" s="2" t="n">
        <v>0.6653276659058429</v>
      </c>
      <c r="AE272" s="2" t="n">
        <v>303.1123096256097</v>
      </c>
      <c r="AF272" s="2" t="n">
        <v>311.16509125488085</v>
      </c>
      <c r="AG272" s="2" t="n">
        <v>294.40021646218094</v>
      </c>
      <c r="AH272" s="2" t="n">
        <v>16.764874792699914</v>
      </c>
      <c r="AI272" s="2" t="n">
        <v>5.113732349561039</v>
      </c>
      <c r="AJ272" s="2" t="n">
        <v>310.17465399575804</v>
      </c>
      <c r="AK272" s="2" t="n">
        <v>310.80940138696985</v>
      </c>
      <c r="AL272" s="2" t="n">
        <v>311.1219250919817</v>
      </c>
      <c r="AM272" s="2" t="n">
        <v>8455802210.701661</v>
      </c>
      <c r="AN272" s="2" t="n">
        <v>8441396404.601719</v>
      </c>
      <c r="AO272" s="2" t="n">
        <v>303.24154729206646</v>
      </c>
      <c r="AP272" s="2" t="n">
        <v>159.29282337828775</v>
      </c>
      <c r="AQ272" s="2" t="n">
        <v>-0.3807769723624515</v>
      </c>
      <c r="AR272" s="2" t="n">
        <v>-2.637161750329931</v>
      </c>
      <c r="AS272" s="2" t="n">
        <v>-1.012940116697476</v>
      </c>
      <c r="AT272" s="2" t="n">
        <v>1.0842426977424937</v>
      </c>
      <c r="AU272" s="2" t="n">
        <v>306.0658890726315</v>
      </c>
      <c r="AV272" s="2" t="n">
        <v>1.018591433421534e-10</v>
      </c>
      <c r="AW272" s="2" t="n">
        <v>-2.9952210341922157e-05</v>
      </c>
      <c r="AX272" s="2" t="n">
        <v>162</v>
      </c>
      <c r="AY272" s="2" t="n">
        <v>9.381724908053002e-07</v>
      </c>
      <c r="AZ272" s="2" t="s">
        <v>131</v>
      </c>
      <c r="BA272" s="2" t="n">
        <v>4.48</v>
      </c>
      <c r="BB272" s="2" t="s">
        <v>132</v>
      </c>
      <c r="BC272" s="2" t="n">
        <v>4</v>
      </c>
      <c r="BD272" s="2" t="s">
        <v>133</v>
      </c>
      <c r="BE272" s="2" t="n">
        <v>3000</v>
      </c>
      <c r="BF272" s="2" t="s">
        <v>134</v>
      </c>
      <c r="BG272" s="2" t="n">
        <v>120</v>
      </c>
    </row>
    <row r="273" customFormat="false" ht="15" hidden="false" customHeight="false" outlineLevel="0" collapsed="false">
      <c r="A273" s="2" t="s">
        <v>406</v>
      </c>
      <c r="B273" s="2" t="s">
        <v>128</v>
      </c>
      <c r="C273" s="2" t="s">
        <v>129</v>
      </c>
      <c r="D273" s="2" t="s">
        <v>285</v>
      </c>
      <c r="E273" s="2" t="n">
        <v>0</v>
      </c>
      <c r="F273" s="2" t="n">
        <v>564.2159049744023</v>
      </c>
      <c r="G273" s="2" t="n">
        <v>331.6685536440082</v>
      </c>
      <c r="H273" s="2" t="n">
        <v>309.5823988324818</v>
      </c>
      <c r="I273" s="2" t="n">
        <v>4.5194830569460525</v>
      </c>
      <c r="J273" s="2" t="n">
        <v>0.002541891451594107</v>
      </c>
      <c r="K273" s="2" t="n">
        <v>0.00021182428763284224</v>
      </c>
      <c r="L273" s="2" t="n">
        <v>24.071862115184977</v>
      </c>
      <c r="M273" s="2" t="n">
        <v>0.4556491251185972</v>
      </c>
      <c r="N273" s="2" t="n">
        <v>1.9507521941848092</v>
      </c>
      <c r="O273" s="2" t="n">
        <v>5.198875</v>
      </c>
      <c r="P273" s="2" t="n">
        <v>2.3688628453509475</v>
      </c>
      <c r="Q273" s="2" t="n">
        <v>28.056939</v>
      </c>
      <c r="R273" s="2" t="n">
        <v>5.825072960751584</v>
      </c>
      <c r="S273" s="2" t="n">
        <v>92.49439470298223</v>
      </c>
      <c r="T273" s="2" t="n">
        <v>202.994781738926</v>
      </c>
      <c r="U273" s="2" t="n">
        <v>0.00042435510145727987</v>
      </c>
      <c r="V273" s="2" t="n">
        <v>17.370052760525848</v>
      </c>
      <c r="W273" s="2" t="n">
        <v>4.428564556240649e-05</v>
      </c>
      <c r="X273" s="2" t="n">
        <v>366.1236502492244</v>
      </c>
      <c r="Y273" s="2" t="n">
        <v>300.6792576720435</v>
      </c>
      <c r="Z273" s="2" t="n">
        <v>22.874035616395</v>
      </c>
      <c r="AA273" s="2" t="n">
        <v>346.4095984498725</v>
      </c>
      <c r="AB273" s="2" t="n">
        <v>14.741044805864249</v>
      </c>
      <c r="AC273" s="2" t="n">
        <v>156.62516755869473</v>
      </c>
      <c r="AD273" s="2" t="n">
        <v>0.5257536561916459</v>
      </c>
      <c r="AE273" s="2" t="n">
        <v>340.44342418455824</v>
      </c>
      <c r="AF273" s="2" t="n">
        <v>347.03021295078554</v>
      </c>
      <c r="AG273" s="2" t="n">
        <v>333.3599710202086</v>
      </c>
      <c r="AH273" s="2" t="n">
        <v>13.670241930576935</v>
      </c>
      <c r="AI273" s="2" t="n">
        <v>4.151221757102712</v>
      </c>
      <c r="AJ273" s="2" t="n">
        <v>346.19789493921894</v>
      </c>
      <c r="AK273" s="2" t="n">
        <v>346.7152611720625</v>
      </c>
      <c r="AL273" s="2" t="n">
        <v>346.9918295020624</v>
      </c>
      <c r="AM273" s="2" t="n">
        <v>13445187908.993021</v>
      </c>
      <c r="AN273" s="2" t="n">
        <v>13433209874.319403</v>
      </c>
      <c r="AO273" s="2" t="n">
        <v>340.51928989996196</v>
      </c>
      <c r="AP273" s="2" t="n">
        <v>193.3132873315905</v>
      </c>
      <c r="AQ273" s="2" t="n">
        <v>5.02153816701801</v>
      </c>
      <c r="AR273" s="2" t="n">
        <v>27.226962653000133</v>
      </c>
      <c r="AS273" s="2" t="n">
        <v>4.439663303325637</v>
      </c>
      <c r="AT273" s="2" t="n">
        <v>2.25154785152914</v>
      </c>
      <c r="AU273" s="2" t="n">
        <v>309.9496566761104</v>
      </c>
      <c r="AV273" s="2" t="n">
        <v>8.812605756247646e-11</v>
      </c>
      <c r="AW273" s="2" t="n">
        <v>-2.41918598010662e-05</v>
      </c>
      <c r="AX273" s="2" t="n">
        <v>148</v>
      </c>
      <c r="AY273" s="2" t="n">
        <v>8.914813065530325e-07</v>
      </c>
      <c r="AZ273" s="2" t="s">
        <v>131</v>
      </c>
      <c r="BA273" s="2" t="n">
        <v>4.48</v>
      </c>
      <c r="BB273" s="2" t="s">
        <v>132</v>
      </c>
      <c r="BC273" s="2" t="n">
        <v>4</v>
      </c>
      <c r="BD273" s="2" t="s">
        <v>133</v>
      </c>
      <c r="BE273" s="2" t="n">
        <v>3000</v>
      </c>
      <c r="BF273" s="2" t="s">
        <v>134</v>
      </c>
      <c r="BG273" s="2" t="n">
        <v>120</v>
      </c>
    </row>
    <row r="274" customFormat="false" ht="15" hidden="false" customHeight="false" outlineLevel="0" collapsed="false">
      <c r="A274" s="2" t="s">
        <v>407</v>
      </c>
      <c r="B274" s="2" t="s">
        <v>128</v>
      </c>
      <c r="C274" s="2" t="s">
        <v>129</v>
      </c>
      <c r="D274" s="2" t="s">
        <v>285</v>
      </c>
      <c r="E274" s="2" t="n">
        <v>0</v>
      </c>
      <c r="F274" s="2" t="n">
        <v>645.8153765816036</v>
      </c>
      <c r="G274" s="2" t="n">
        <v>297.000943284548</v>
      </c>
      <c r="H274" s="2" t="n">
        <v>291.5862381630841</v>
      </c>
      <c r="I274" s="2" t="n">
        <v>3.7356127412644264</v>
      </c>
      <c r="J274" s="2" t="n">
        <v>0.0029574406819834363</v>
      </c>
      <c r="K274" s="2" t="n">
        <v>0.00024645339016528636</v>
      </c>
      <c r="L274" s="2" t="n">
        <v>22.151216288868017</v>
      </c>
      <c r="M274" s="2" t="n">
        <v>0.947443712491394</v>
      </c>
      <c r="N274" s="2" t="n">
        <v>0.924421398598518</v>
      </c>
      <c r="O274" s="2" t="n">
        <v>5.198875</v>
      </c>
      <c r="P274" s="2" t="n">
        <v>4.925641430778696</v>
      </c>
      <c r="Q274" s="2" t="n">
        <v>28.056939</v>
      </c>
      <c r="R274" s="2" t="n">
        <v>25.18529974341577</v>
      </c>
      <c r="S274" s="2" t="n">
        <v>59.76836849471571</v>
      </c>
      <c r="T274" s="2" t="n">
        <v>63.08381986888599</v>
      </c>
      <c r="U274" s="2" t="n">
        <v>0.0007640688301554314</v>
      </c>
      <c r="V274" s="2" t="n">
        <v>10.406526439085606</v>
      </c>
      <c r="W274" s="2" t="n">
        <v>3.0869292526668e-05</v>
      </c>
      <c r="X274" s="2" t="n">
        <v>419.07411857143853</v>
      </c>
      <c r="Y274" s="2" t="n">
        <v>274.84612111970483</v>
      </c>
      <c r="Z274" s="2" t="n">
        <v>19.89532841680482</v>
      </c>
      <c r="AA274" s="2" t="n">
        <v>313.315105930382</v>
      </c>
      <c r="AB274" s="2" t="n">
        <v>16.314162645834017</v>
      </c>
      <c r="AC274" s="2" t="n">
        <v>201.67734349936737</v>
      </c>
      <c r="AD274" s="2" t="n">
        <v>0.5914456043773599</v>
      </c>
      <c r="AE274" s="2" t="n">
        <v>306.8954691058867</v>
      </c>
      <c r="AF274" s="2" t="n">
        <v>314.19676644615924</v>
      </c>
      <c r="AG274" s="2" t="n">
        <v>299.1328100993828</v>
      </c>
      <c r="AH274" s="2" t="n">
        <v>15.063956346776422</v>
      </c>
      <c r="AI274" s="2" t="n">
        <v>4.580518293425731</v>
      </c>
      <c r="AJ274" s="2" t="n">
        <v>313.23189491207813</v>
      </c>
      <c r="AK274" s="2" t="n">
        <v>313.8194313841939</v>
      </c>
      <c r="AL274" s="2" t="n">
        <v>314.13609316299886</v>
      </c>
      <c r="AM274" s="2" t="n">
        <v>8882632945.115982</v>
      </c>
      <c r="AN274" s="2" t="n">
        <v>8870782005.795399</v>
      </c>
      <c r="AO274" s="2" t="n">
        <v>306.9979172025435</v>
      </c>
      <c r="AP274" s="2" t="n">
        <v>221.27113460571957</v>
      </c>
      <c r="AQ274" s="2" t="n">
        <v>2.1728968472616503</v>
      </c>
      <c r="AR274" s="2" t="n">
        <v>15.218560185940035</v>
      </c>
      <c r="AS274" s="2" t="n">
        <v>2.202384076468315</v>
      </c>
      <c r="AT274" s="2" t="n">
        <v>2.4239919687400233</v>
      </c>
      <c r="AU274" s="2" t="n">
        <v>289.85092241745036</v>
      </c>
      <c r="AV274" s="2" t="n">
        <v>1.196926291413547e-10</v>
      </c>
      <c r="AW274" s="2" t="n">
        <v>-2.1958753279066184e-05</v>
      </c>
      <c r="AX274" s="2" t="n">
        <v>125</v>
      </c>
      <c r="AY274" s="2" t="n">
        <v>9.63853608482168e-07</v>
      </c>
      <c r="AZ274" s="2" t="s">
        <v>131</v>
      </c>
      <c r="BA274" s="2" t="n">
        <v>4.48</v>
      </c>
      <c r="BB274" s="2" t="s">
        <v>132</v>
      </c>
      <c r="BC274" s="2" t="n">
        <v>4</v>
      </c>
      <c r="BD274" s="2" t="s">
        <v>133</v>
      </c>
      <c r="BE274" s="2" t="n">
        <v>3000</v>
      </c>
      <c r="BF274" s="2" t="s">
        <v>134</v>
      </c>
      <c r="BG274" s="2" t="n">
        <v>120</v>
      </c>
    </row>
    <row r="275" customFormat="false" ht="15" hidden="false" customHeight="false" outlineLevel="0" collapsed="false">
      <c r="A275" s="2" t="s">
        <v>408</v>
      </c>
      <c r="B275" s="2" t="s">
        <v>128</v>
      </c>
      <c r="C275" s="2" t="s">
        <v>129</v>
      </c>
      <c r="D275" s="2" t="s">
        <v>285</v>
      </c>
      <c r="E275" s="2" t="n">
        <v>0</v>
      </c>
      <c r="F275" s="2" t="n">
        <v>932.9058275900434</v>
      </c>
      <c r="G275" s="2" t="n">
        <v>300.237765876956</v>
      </c>
      <c r="H275" s="2" t="n">
        <v>285.7296924379367</v>
      </c>
      <c r="I275" s="2" t="n">
        <v>3.531192350238388</v>
      </c>
      <c r="J275" s="2" t="n">
        <v>0.0010772473818617461</v>
      </c>
      <c r="K275" s="2" t="n">
        <v>8.977061515514551e-05</v>
      </c>
      <c r="L275" s="2" t="n">
        <v>22.668895807611236</v>
      </c>
      <c r="M275" s="2" t="n">
        <v>0.9762060933117818</v>
      </c>
      <c r="N275" s="2" t="n">
        <v>1.6176464603410299</v>
      </c>
      <c r="O275" s="2" t="n">
        <v>5.198875</v>
      </c>
      <c r="P275" s="2" t="n">
        <v>5.07517345336629</v>
      </c>
      <c r="Q275" s="2" t="n">
        <v>28.056939</v>
      </c>
      <c r="R275" s="2" t="n">
        <v>26.73765505884218</v>
      </c>
      <c r="S275" s="2" t="n">
        <v>33.85704445150484</v>
      </c>
      <c r="T275" s="2" t="n">
        <v>34.682271175592376</v>
      </c>
      <c r="U275" s="2" t="n">
        <v>0.0004913084629683917</v>
      </c>
      <c r="V275" s="2" t="n">
        <v>2.2588727623695375</v>
      </c>
      <c r="W275" s="2" t="n">
        <v>2.440686829710526e-06</v>
      </c>
      <c r="X275" s="2" t="n">
        <v>605.3691218639722</v>
      </c>
      <c r="Y275" s="2" t="n">
        <v>266.6073623686015</v>
      </c>
      <c r="Z275" s="2" t="n">
        <v>19.118530930905873</v>
      </c>
      <c r="AA275" s="2" t="n">
        <v>358.50943983281775</v>
      </c>
      <c r="AB275" s="2" t="n">
        <v>58.27167395586173</v>
      </c>
      <c r="AC275" s="2" t="n">
        <v>262.3911742996309</v>
      </c>
      <c r="AD275" s="2" t="n">
        <v>0.5326936191532401</v>
      </c>
      <c r="AE275" s="2" t="n">
        <v>334.5971143909634</v>
      </c>
      <c r="AF275" s="2" t="n">
        <v>358.9948655452789</v>
      </c>
      <c r="AG275" s="2" t="n">
        <v>306.15984329684636</v>
      </c>
      <c r="AH275" s="2" t="n">
        <v>52.83502224843255</v>
      </c>
      <c r="AI275" s="2" t="n">
        <v>16.129961865102683</v>
      </c>
      <c r="AJ275" s="2" t="n">
        <v>356.43605643435865</v>
      </c>
      <c r="AK275" s="2" t="n">
        <v>358.12383840952845</v>
      </c>
      <c r="AL275" s="2" t="n">
        <v>358.92865805670345</v>
      </c>
      <c r="AM275" s="2" t="n">
        <v>12708165243.457775</v>
      </c>
      <c r="AN275" s="2" t="n">
        <v>12533973291.208248</v>
      </c>
      <c r="AO275" s="2" t="n">
        <v>335.7536273585714</v>
      </c>
      <c r="AP275" s="2" t="n">
        <v>319.6348963441773</v>
      </c>
      <c r="AQ275" s="2" t="n">
        <v>7.128293845081674</v>
      </c>
      <c r="AR275" s="2" t="n">
        <v>43.08530809201338</v>
      </c>
      <c r="AS275" s="2" t="n">
        <v>7.030061298931697</v>
      </c>
      <c r="AT275" s="2" t="n">
        <v>2.218577037685706</v>
      </c>
      <c r="AU275" s="2" t="n">
        <v>286.34225083045084</v>
      </c>
      <c r="AV275" s="2" t="n">
        <v>1.199529719997372e-10</v>
      </c>
      <c r="AW275" s="2" t="n">
        <v>1.9179561857299503e-05</v>
      </c>
      <c r="AX275" s="2" t="n">
        <v>323</v>
      </c>
      <c r="AY275" s="2" t="n">
        <v>9.658676844992442e-07</v>
      </c>
      <c r="AZ275" s="2" t="s">
        <v>131</v>
      </c>
      <c r="BA275" s="2" t="n">
        <v>4.48</v>
      </c>
      <c r="BB275" s="2" t="s">
        <v>132</v>
      </c>
      <c r="BC275" s="2" t="n">
        <v>4</v>
      </c>
      <c r="BD275" s="2" t="s">
        <v>133</v>
      </c>
      <c r="BE275" s="2" t="n">
        <v>3000</v>
      </c>
      <c r="BF275" s="2" t="s">
        <v>134</v>
      </c>
      <c r="BG275" s="2" t="n">
        <v>120</v>
      </c>
    </row>
    <row r="276" customFormat="false" ht="15" hidden="false" customHeight="false" outlineLevel="0" collapsed="false">
      <c r="A276" s="2" t="s">
        <v>409</v>
      </c>
      <c r="B276" s="2" t="s">
        <v>128</v>
      </c>
      <c r="C276" s="2" t="s">
        <v>129</v>
      </c>
      <c r="D276" s="2" t="s">
        <v>285</v>
      </c>
      <c r="E276" s="2" t="n">
        <v>0</v>
      </c>
      <c r="F276" s="2" t="n">
        <v>455.57152759946644</v>
      </c>
      <c r="G276" s="2" t="n">
        <v>303.83703474589026</v>
      </c>
      <c r="H276" s="2" t="n">
        <v>304.4407115301796</v>
      </c>
      <c r="I276" s="2" t="n">
        <v>3.8948559550853985</v>
      </c>
      <c r="J276" s="2" t="n">
        <v>0.002517757742040796</v>
      </c>
      <c r="K276" s="2" t="n">
        <v>0.0002098131451700663</v>
      </c>
      <c r="L276" s="2" t="n">
        <v>36.581328331130315</v>
      </c>
      <c r="M276" s="2" t="n">
        <v>0.6039204037248439</v>
      </c>
      <c r="N276" s="2" t="n">
        <v>1.94850338909555</v>
      </c>
      <c r="O276" s="2" t="n">
        <v>5.198875</v>
      </c>
      <c r="P276" s="2" t="n">
        <v>3.139706688914998</v>
      </c>
      <c r="Q276" s="2" t="n">
        <v>28.056939</v>
      </c>
      <c r="R276" s="2" t="n">
        <v>10.232922696753905</v>
      </c>
      <c r="S276" s="2" t="n">
        <v>56.97328809871415</v>
      </c>
      <c r="T276" s="2" t="n">
        <v>94.3390681078431</v>
      </c>
      <c r="U276" s="2" t="n">
        <v>0.0006823866110001171</v>
      </c>
      <c r="V276" s="2" t="n">
        <v>15.815989804267609</v>
      </c>
      <c r="W276" s="2" t="n">
        <v>3.994065273594088e-05</v>
      </c>
      <c r="X276" s="2" t="n">
        <v>295.6235532599869</v>
      </c>
      <c r="Y276" s="2" t="n">
        <v>293.21971694051786</v>
      </c>
      <c r="Z276" s="2" t="n">
        <v>20.500452629324514</v>
      </c>
      <c r="AA276" s="2" t="n">
        <v>317.65455320169076</v>
      </c>
      <c r="AB276" s="2" t="n">
        <v>13.817518455800496</v>
      </c>
      <c r="AC276" s="2" t="n">
        <v>145.4187058037521</v>
      </c>
      <c r="AD276" s="2" t="n">
        <v>0.604546594447295</v>
      </c>
      <c r="AE276" s="2" t="n">
        <v>312.1094590901258</v>
      </c>
      <c r="AF276" s="2" t="n">
        <v>318.2488757149913</v>
      </c>
      <c r="AG276" s="2" t="n">
        <v>305.49728958521985</v>
      </c>
      <c r="AH276" s="2" t="n">
        <v>12.751586129771454</v>
      </c>
      <c r="AI276" s="2" t="n">
        <v>3.8772479356336</v>
      </c>
      <c r="AJ276" s="2" t="n">
        <v>317.47728523488865</v>
      </c>
      <c r="AK276" s="2" t="n">
        <v>317.9728633125326</v>
      </c>
      <c r="AL276" s="2" t="n">
        <v>318.2132841079596</v>
      </c>
      <c r="AM276" s="2" t="n">
        <v>9497941077.755037</v>
      </c>
      <c r="AN276" s="2" t="n">
        <v>9489159007.19359</v>
      </c>
      <c r="AO276" s="2" t="n">
        <v>312.1816471663464</v>
      </c>
      <c r="AP276" s="2" t="n">
        <v>156.0892361212731</v>
      </c>
      <c r="AQ276" s="2" t="n">
        <v>1.2940128232861006</v>
      </c>
      <c r="AR276" s="2" t="n">
        <v>8.27333939844065</v>
      </c>
      <c r="AS276" s="2" t="n">
        <v>1.1032250787503577</v>
      </c>
      <c r="AT276" s="2" t="n">
        <v>2.6352853011006436</v>
      </c>
      <c r="AU276" s="2" t="n">
        <v>302.8434498275491</v>
      </c>
      <c r="AV276" s="2" t="n">
        <v>8.858165756464589e-11</v>
      </c>
      <c r="AW276" s="2" t="n">
        <v>-3.121496873064546e-05</v>
      </c>
      <c r="AX276" s="2" t="n">
        <v>144</v>
      </c>
      <c r="AY276" s="2" t="n">
        <v>9.55977156991139e-07</v>
      </c>
      <c r="AZ276" s="2" t="s">
        <v>131</v>
      </c>
      <c r="BA276" s="2" t="n">
        <v>4.48</v>
      </c>
      <c r="BB276" s="2" t="s">
        <v>132</v>
      </c>
      <c r="BC276" s="2" t="n">
        <v>4</v>
      </c>
      <c r="BD276" s="2" t="s">
        <v>133</v>
      </c>
      <c r="BE276" s="2" t="n">
        <v>3000</v>
      </c>
      <c r="BF276" s="2" t="s">
        <v>134</v>
      </c>
      <c r="BG276" s="2" t="n">
        <v>120</v>
      </c>
    </row>
    <row r="277" customFormat="false" ht="15" hidden="false" customHeight="false" outlineLevel="0" collapsed="false">
      <c r="A277" s="2" t="s">
        <v>410</v>
      </c>
      <c r="B277" s="2" t="s">
        <v>128</v>
      </c>
      <c r="C277" s="2" t="s">
        <v>129</v>
      </c>
      <c r="D277" s="2" t="s">
        <v>285</v>
      </c>
      <c r="E277" s="2" t="n">
        <v>0</v>
      </c>
      <c r="F277" s="2" t="n">
        <v>574.596967545338</v>
      </c>
      <c r="G277" s="2" t="n">
        <v>319.2840768735207</v>
      </c>
      <c r="H277" s="2" t="n">
        <v>292.51888130599525</v>
      </c>
      <c r="I277" s="2" t="n">
        <v>1.8083479297766956</v>
      </c>
      <c r="J277" s="2" t="n">
        <v>0.0011322896871040651</v>
      </c>
      <c r="K277" s="2" t="n">
        <v>9.435747392533876e-05</v>
      </c>
      <c r="L277" s="2" t="n">
        <v>31.3808957085359</v>
      </c>
      <c r="M277" s="2" t="n">
        <v>0.357954906778059</v>
      </c>
      <c r="N277" s="2" t="n">
        <v>1.0500473720874892</v>
      </c>
      <c r="O277" s="2" t="n">
        <v>5.198875</v>
      </c>
      <c r="P277" s="2" t="n">
        <v>1.8609628159757814</v>
      </c>
      <c r="Q277" s="2" t="n">
        <v>28.056939</v>
      </c>
      <c r="R277" s="2" t="n">
        <v>3.5949837197583867</v>
      </c>
      <c r="S277" s="2" t="n">
        <v>38.55784403053482</v>
      </c>
      <c r="T277" s="2" t="n">
        <v>107.71704284652157</v>
      </c>
      <c r="U277" s="2" t="n">
        <v>0.0004534533879759701</v>
      </c>
      <c r="V277" s="2" t="n">
        <v>22.060202309930467</v>
      </c>
      <c r="W277" s="2" t="n">
        <v>2.5053700672982493e-05</v>
      </c>
      <c r="X277" s="2" t="n">
        <v>372.85999441894256</v>
      </c>
      <c r="Y277" s="2" t="n">
        <v>276.1658244135995</v>
      </c>
      <c r="Z277" s="2" t="n">
        <v>12.571722133151443</v>
      </c>
      <c r="AA277" s="2" t="n">
        <v>349.8027211990622</v>
      </c>
      <c r="AB277" s="2" t="n">
        <v>30.518644325541516</v>
      </c>
      <c r="AC277" s="2" t="n">
        <v>144.443855258988</v>
      </c>
      <c r="AD277" s="2" t="n">
        <v>0.4761039879067786</v>
      </c>
      <c r="AE277" s="2" t="n">
        <v>337.2478197612824</v>
      </c>
      <c r="AF277" s="2" t="n">
        <v>350.0988381302462</v>
      </c>
      <c r="AG277" s="2" t="n">
        <v>322.3049402476172</v>
      </c>
      <c r="AH277" s="2" t="n">
        <v>27.793897882628983</v>
      </c>
      <c r="AI277" s="2" t="n">
        <v>8.466240479466405</v>
      </c>
      <c r="AJ277" s="2" t="n">
        <v>348.7332080647937</v>
      </c>
      <c r="AK277" s="2" t="n">
        <v>349.63280782795175</v>
      </c>
      <c r="AL277" s="2" t="n">
        <v>350.0614576371047</v>
      </c>
      <c r="AM277" s="2" t="n">
        <v>12984722420.29161</v>
      </c>
      <c r="AN277" s="2" t="n">
        <v>12935898608.3598</v>
      </c>
      <c r="AO277" s="2" t="n">
        <v>337.5655879910814</v>
      </c>
      <c r="AP277" s="2" t="n">
        <v>196.87007705320167</v>
      </c>
      <c r="AQ277" s="2" t="n">
        <v>6.6630306748182235</v>
      </c>
      <c r="AR277" s="2" t="n">
        <v>39.32855220889362</v>
      </c>
      <c r="AS277" s="2" t="n">
        <v>6.434699573042142</v>
      </c>
      <c r="AT277" s="2" t="n">
        <v>2.219862356687083</v>
      </c>
      <c r="AU277" s="2" t="n">
        <v>293.20046336731804</v>
      </c>
      <c r="AV277" s="2" t="n">
        <v>1.0530868621572157e-10</v>
      </c>
      <c r="AW277" s="2" t="n">
        <v>-3.0946950947557154e-05</v>
      </c>
      <c r="AX277" s="2" t="n">
        <v>311</v>
      </c>
      <c r="AY277" s="2" t="n">
        <v>9.631598913983908e-07</v>
      </c>
      <c r="AZ277" s="2" t="s">
        <v>131</v>
      </c>
      <c r="BA277" s="2" t="n">
        <v>4.48</v>
      </c>
      <c r="BB277" s="2" t="s">
        <v>132</v>
      </c>
      <c r="BC277" s="2" t="n">
        <v>4</v>
      </c>
      <c r="BD277" s="2" t="s">
        <v>133</v>
      </c>
      <c r="BE277" s="2" t="n">
        <v>3000</v>
      </c>
      <c r="BF277" s="2" t="s">
        <v>134</v>
      </c>
      <c r="BG277" s="2" t="n">
        <v>120</v>
      </c>
    </row>
    <row r="278" customFormat="false" ht="15" hidden="false" customHeight="false" outlineLevel="0" collapsed="false">
      <c r="A278" s="2" t="s">
        <v>411</v>
      </c>
      <c r="B278" s="2" t="s">
        <v>128</v>
      </c>
      <c r="C278" s="2" t="s">
        <v>129</v>
      </c>
      <c r="D278" s="2" t="s">
        <v>285</v>
      </c>
      <c r="E278" s="2" t="n">
        <v>0</v>
      </c>
      <c r="F278" s="2" t="n">
        <v>509.9099419070453</v>
      </c>
      <c r="G278" s="2" t="n">
        <v>327.2354444301948</v>
      </c>
      <c r="H278" s="2" t="n">
        <v>295.8152415940718</v>
      </c>
      <c r="I278" s="2" t="n">
        <v>1.4899774062118185</v>
      </c>
      <c r="J278" s="2" t="n">
        <v>0.0028419412491144658</v>
      </c>
      <c r="K278" s="2" t="n">
        <v>0.0002368284374262055</v>
      </c>
      <c r="L278" s="2" t="n">
        <v>30.667437869130072</v>
      </c>
      <c r="M278" s="2" t="n">
        <v>0.9977356128920284</v>
      </c>
      <c r="N278" s="2" t="n">
        <v>1.1281350029975736</v>
      </c>
      <c r="O278" s="2" t="n">
        <v>5.198875</v>
      </c>
      <c r="P278" s="2" t="n">
        <v>5.187102734474045</v>
      </c>
      <c r="Q278" s="2" t="n">
        <v>28.056939</v>
      </c>
      <c r="R278" s="2" t="n">
        <v>27.930019318601627</v>
      </c>
      <c r="S278" s="2" t="n">
        <v>94.106420011276</v>
      </c>
      <c r="T278" s="2" t="n">
        <v>94.31999699649879</v>
      </c>
      <c r="U278" s="2" t="n">
        <v>0.0004663196161364988</v>
      </c>
      <c r="V278" s="2" t="n">
        <v>5.473693294958347</v>
      </c>
      <c r="W278" s="2" t="n">
        <v>1.5602722928729593e-05</v>
      </c>
      <c r="X278" s="2" t="n">
        <v>330.88413067307505</v>
      </c>
      <c r="Y278" s="2" t="n">
        <v>280.8470704063363</v>
      </c>
      <c r="Z278" s="2" t="n">
        <v>11.36191414360491</v>
      </c>
      <c r="AA278" s="2" t="n">
        <v>338.163787852023</v>
      </c>
      <c r="AB278" s="2" t="n">
        <v>10.928343421828231</v>
      </c>
      <c r="AC278" s="2" t="n">
        <v>129.82122761182634</v>
      </c>
      <c r="AD278" s="2" t="n">
        <v>0.4821901220910737</v>
      </c>
      <c r="AE278" s="2" t="n">
        <v>333.81282304947615</v>
      </c>
      <c r="AF278" s="2" t="n">
        <v>338.7079740720765</v>
      </c>
      <c r="AG278" s="2" t="n">
        <v>328.56800119664916</v>
      </c>
      <c r="AH278" s="2" t="n">
        <v>10.139972875427361</v>
      </c>
      <c r="AI278" s="2" t="n">
        <v>3.074915233917346</v>
      </c>
      <c r="AJ278" s="2" t="n">
        <v>338.08418431167416</v>
      </c>
      <c r="AK278" s="2" t="n">
        <v>338.4626874056022</v>
      </c>
      <c r="AL278" s="2" t="n">
        <v>338.6723588092709</v>
      </c>
      <c r="AM278" s="2" t="n">
        <v>12423187149.977411</v>
      </c>
      <c r="AN278" s="2" t="n">
        <v>12416867946.479315</v>
      </c>
      <c r="AO278" s="2" t="n">
        <v>333.8552860263031</v>
      </c>
      <c r="AP278" s="2" t="n">
        <v>174.70682099538362</v>
      </c>
      <c r="AQ278" s="2" t="n">
        <v>5.654031112246679</v>
      </c>
      <c r="AR278" s="2" t="n">
        <v>33.76528073959748</v>
      </c>
      <c r="AS278" s="2" t="n">
        <v>5.466327384722988</v>
      </c>
      <c r="AT278" s="2" t="n">
        <v>2.2372632750123014</v>
      </c>
      <c r="AU278" s="2" t="n">
        <v>295.99624270398925</v>
      </c>
      <c r="AV278" s="2" t="n">
        <v>9.151051472144899e-11</v>
      </c>
      <c r="AW278" s="2" t="n">
        <v>-2.664181335058487e-05</v>
      </c>
      <c r="AX278" s="2" t="n">
        <v>135</v>
      </c>
      <c r="AY278" s="2" t="n">
        <v>8.962515494204126e-07</v>
      </c>
      <c r="AZ278" s="2" t="s">
        <v>131</v>
      </c>
      <c r="BA278" s="2" t="n">
        <v>4.48</v>
      </c>
      <c r="BB278" s="2" t="s">
        <v>132</v>
      </c>
      <c r="BC278" s="2" t="n">
        <v>4</v>
      </c>
      <c r="BD278" s="2" t="s">
        <v>133</v>
      </c>
      <c r="BE278" s="2" t="n">
        <v>3000</v>
      </c>
      <c r="BF278" s="2" t="s">
        <v>134</v>
      </c>
      <c r="BG278" s="2" t="n">
        <v>120</v>
      </c>
    </row>
    <row r="279" customFormat="false" ht="15" hidden="false" customHeight="false" outlineLevel="0" collapsed="false">
      <c r="A279" s="2" t="s">
        <v>412</v>
      </c>
      <c r="B279" s="2" t="s">
        <v>128</v>
      </c>
      <c r="C279" s="2" t="s">
        <v>129</v>
      </c>
      <c r="D279" s="2" t="s">
        <v>285</v>
      </c>
      <c r="E279" s="2" t="n">
        <v>0</v>
      </c>
      <c r="F279" s="2" t="n">
        <v>793.2124464706053</v>
      </c>
      <c r="G279" s="2" t="n">
        <v>332.28405291237516</v>
      </c>
      <c r="H279" s="2" t="n">
        <v>292.81971464208846</v>
      </c>
      <c r="I279" s="2" t="n">
        <v>4.238650959707973</v>
      </c>
      <c r="J279" s="2" t="n">
        <v>0.003582555873325265</v>
      </c>
      <c r="K279" s="2" t="n">
        <v>0.0002985463227771054</v>
      </c>
      <c r="L279" s="2" t="n">
        <v>30.421070624914854</v>
      </c>
      <c r="M279" s="2" t="n">
        <v>0.8701889864461484</v>
      </c>
      <c r="N279" s="2" t="n">
        <v>1.0866771153584653</v>
      </c>
      <c r="O279" s="2" t="n">
        <v>5.198875</v>
      </c>
      <c r="P279" s="2" t="n">
        <v>4.524003766910219</v>
      </c>
      <c r="Q279" s="2" t="n">
        <v>28.056939</v>
      </c>
      <c r="R279" s="2" t="n">
        <v>21.245524274451228</v>
      </c>
      <c r="S279" s="2" t="n">
        <v>131.1600094182326</v>
      </c>
      <c r="T279" s="2" t="n">
        <v>150.72588996315622</v>
      </c>
      <c r="U279" s="2" t="n">
        <v>0.00042177358269280667</v>
      </c>
      <c r="V279" s="2" t="n">
        <v>8.168717519365375</v>
      </c>
      <c r="W279" s="2" t="n">
        <v>2.9352945763828895e-05</v>
      </c>
      <c r="X279" s="2" t="n">
        <v>514.721109001901</v>
      </c>
      <c r="Y279" s="2" t="n">
        <v>276.5919571263278</v>
      </c>
      <c r="Z279" s="2" t="n">
        <v>21.806873646890296</v>
      </c>
      <c r="AA279" s="2" t="n">
        <v>346.6422516503818</v>
      </c>
      <c r="AB279" s="2" t="n">
        <v>14.35819873800665</v>
      </c>
      <c r="AC279" s="2" t="n">
        <v>215.0152257363276</v>
      </c>
      <c r="AD279" s="2" t="n">
        <v>0.5133880691493828</v>
      </c>
      <c r="AE279" s="2" t="n">
        <v>341.14888122531914</v>
      </c>
      <c r="AF279" s="2" t="n">
        <v>347.6382936596649</v>
      </c>
      <c r="AG279" s="2" t="n">
        <v>334.26576312791417</v>
      </c>
      <c r="AH279" s="2" t="n">
        <v>13.372530531750726</v>
      </c>
      <c r="AI279" s="2" t="n">
        <v>4.045644272166685</v>
      </c>
      <c r="AJ279" s="2" t="n">
        <v>346.7447309713088</v>
      </c>
      <c r="AK279" s="2" t="n">
        <v>347.3123284382535</v>
      </c>
      <c r="AL279" s="2" t="n">
        <v>347.58798014613785</v>
      </c>
      <c r="AM279" s="2" t="n">
        <v>13556325021.62509</v>
      </c>
      <c r="AN279" s="2" t="n">
        <v>13544900076.930447</v>
      </c>
      <c r="AO279" s="2" t="n">
        <v>341.2207971280238</v>
      </c>
      <c r="AP279" s="2" t="n">
        <v>271.77274555300374</v>
      </c>
      <c r="AQ279" s="2" t="n">
        <v>7.302606294957995</v>
      </c>
      <c r="AR279" s="2" t="n">
        <v>42.50234070980263</v>
      </c>
      <c r="AS279" s="2" t="n">
        <v>6.952627947776359</v>
      </c>
      <c r="AT279" s="2" t="n">
        <v>2.2242324931876145</v>
      </c>
      <c r="AU279" s="2" t="n">
        <v>293.54693191178666</v>
      </c>
      <c r="AV279" s="2" t="n">
        <v>9.502514330961275e-11</v>
      </c>
      <c r="AW279" s="2" t="n">
        <v>-1.8869494796223754e-05</v>
      </c>
      <c r="AX279" s="2" t="n">
        <v>113</v>
      </c>
      <c r="AY279" s="2" t="n">
        <v>9.71275937899918e-07</v>
      </c>
      <c r="AZ279" s="2" t="s">
        <v>131</v>
      </c>
      <c r="BA279" s="2" t="n">
        <v>4.48</v>
      </c>
      <c r="BB279" s="2" t="s">
        <v>132</v>
      </c>
      <c r="BC279" s="2" t="n">
        <v>4</v>
      </c>
      <c r="BD279" s="2" t="s">
        <v>133</v>
      </c>
      <c r="BE279" s="2" t="n">
        <v>3000</v>
      </c>
      <c r="BF279" s="2" t="s">
        <v>134</v>
      </c>
      <c r="BG279" s="2" t="n">
        <v>120</v>
      </c>
    </row>
    <row r="280" customFormat="false" ht="15" hidden="false" customHeight="false" outlineLevel="0" collapsed="false">
      <c r="A280" s="2" t="s">
        <v>413</v>
      </c>
      <c r="B280" s="2" t="s">
        <v>128</v>
      </c>
      <c r="C280" s="2" t="s">
        <v>129</v>
      </c>
      <c r="D280" s="2" t="s">
        <v>285</v>
      </c>
      <c r="E280" s="2" t="n">
        <v>0</v>
      </c>
      <c r="F280" s="2" t="n">
        <v>732.5331991543269</v>
      </c>
      <c r="G280" s="2" t="n">
        <v>304.81550491049643</v>
      </c>
      <c r="H280" s="2" t="n">
        <v>296.54260002550245</v>
      </c>
      <c r="I280" s="2" t="n">
        <v>2.0655252134330615</v>
      </c>
      <c r="J280" s="2" t="n">
        <v>0.0015433295778829249</v>
      </c>
      <c r="K280" s="2" t="n">
        <v>0.00012861079815691041</v>
      </c>
      <c r="L280" s="2" t="n">
        <v>35.75655571399654</v>
      </c>
      <c r="M280" s="2" t="n">
        <v>0.39933896436432453</v>
      </c>
      <c r="N280" s="2" t="n">
        <v>1.7009730459668493</v>
      </c>
      <c r="O280" s="2" t="n">
        <v>5.198875</v>
      </c>
      <c r="P280" s="2" t="n">
        <v>2.0761133583595783</v>
      </c>
      <c r="Q280" s="2" t="n">
        <v>28.056939</v>
      </c>
      <c r="R280" s="2" t="n">
        <v>4.474285190782076</v>
      </c>
      <c r="S280" s="2" t="n">
        <v>42.67360942839685</v>
      </c>
      <c r="T280" s="2" t="n">
        <v>106.86062026610783</v>
      </c>
      <c r="U280" s="2" t="n">
        <v>0.000558453661913963</v>
      </c>
      <c r="V280" s="2" t="n">
        <v>20.296744404841043</v>
      </c>
      <c r="W280" s="2" t="n">
        <v>3.141882244204708e-05</v>
      </c>
      <c r="X280" s="2" t="n">
        <v>475.3459206636368</v>
      </c>
      <c r="Y280" s="2" t="n">
        <v>281.8835383155503</v>
      </c>
      <c r="Z280" s="2" t="n">
        <v>13.548995811045634</v>
      </c>
      <c r="AA280" s="2" t="n">
        <v>338.472404127788</v>
      </c>
      <c r="AB280" s="2" t="n">
        <v>33.656899217291596</v>
      </c>
      <c r="AC280" s="2" t="n">
        <v>217.12461609861987</v>
      </c>
      <c r="AD280" s="2" t="n">
        <v>0.5613682278125793</v>
      </c>
      <c r="AE280" s="2" t="n">
        <v>324.52764144253183</v>
      </c>
      <c r="AF280" s="2" t="n">
        <v>339.081840897508</v>
      </c>
      <c r="AG280" s="2" t="n">
        <v>308.25565930837735</v>
      </c>
      <c r="AH280" s="2" t="n">
        <v>30.82618158913067</v>
      </c>
      <c r="AI280" s="2" t="n">
        <v>9.394368332142044</v>
      </c>
      <c r="AJ280" s="2" t="n">
        <v>337.39856213691263</v>
      </c>
      <c r="AK280" s="2" t="n">
        <v>338.4877326327252</v>
      </c>
      <c r="AL280" s="2" t="n">
        <v>339.0110668664412</v>
      </c>
      <c r="AM280" s="2" t="n">
        <v>11147608145.75559</v>
      </c>
      <c r="AN280" s="2" t="n">
        <v>11091921157.567469</v>
      </c>
      <c r="AO280" s="2" t="n">
        <v>324.93419956070966</v>
      </c>
      <c r="AP280" s="2" t="n">
        <v>250.98264611040022</v>
      </c>
      <c r="AQ280" s="2" t="n">
        <v>4.161350752212238</v>
      </c>
      <c r="AR280" s="2" t="n">
        <v>25.67080916967306</v>
      </c>
      <c r="AS280" s="2" t="n">
        <v>4.025924608913681</v>
      </c>
      <c r="AT280" s="2" t="n">
        <v>2.291404750306067</v>
      </c>
      <c r="AU280" s="2" t="n">
        <v>295.77674122092816</v>
      </c>
      <c r="AV280" s="2" t="n">
        <v>9.391868616148712e-11</v>
      </c>
      <c r="AW280" s="2" t="n">
        <v>-2.1916378643672516e-05</v>
      </c>
      <c r="AX280" s="2" t="n">
        <v>221</v>
      </c>
      <c r="AY280" s="2" t="n">
        <v>9.776427418728417e-07</v>
      </c>
      <c r="AZ280" s="2" t="s">
        <v>131</v>
      </c>
      <c r="BA280" s="2" t="n">
        <v>4.48</v>
      </c>
      <c r="BB280" s="2" t="s">
        <v>132</v>
      </c>
      <c r="BC280" s="2" t="n">
        <v>4</v>
      </c>
      <c r="BD280" s="2" t="s">
        <v>133</v>
      </c>
      <c r="BE280" s="2" t="n">
        <v>3000</v>
      </c>
      <c r="BF280" s="2" t="s">
        <v>134</v>
      </c>
      <c r="BG280" s="2" t="n">
        <v>120</v>
      </c>
    </row>
    <row r="281" customFormat="false" ht="15" hidden="false" customHeight="false" outlineLevel="0" collapsed="false">
      <c r="A281" s="2" t="s">
        <v>414</v>
      </c>
      <c r="B281" s="2" t="s">
        <v>128</v>
      </c>
      <c r="C281" s="2" t="s">
        <v>129</v>
      </c>
      <c r="D281" s="2" t="s">
        <v>285</v>
      </c>
      <c r="E281" s="2" t="n">
        <v>0</v>
      </c>
      <c r="F281" s="2" t="n">
        <v>923.1016308674249</v>
      </c>
      <c r="G281" s="2" t="n">
        <v>314.03215355036</v>
      </c>
      <c r="H281" s="2" t="n">
        <v>303.2761583458621</v>
      </c>
      <c r="I281" s="2" t="n">
        <v>1.6281181890463596</v>
      </c>
      <c r="J281" s="2" t="n">
        <v>0.001640921912373569</v>
      </c>
      <c r="K281" s="2" t="n">
        <v>0.00013674349269779743</v>
      </c>
      <c r="L281" s="2" t="n">
        <v>32.28901900436539</v>
      </c>
      <c r="M281" s="2" t="n">
        <v>0.44972860862687314</v>
      </c>
      <c r="N281" s="2" t="n">
        <v>1.4480277410182665</v>
      </c>
      <c r="O281" s="2" t="n">
        <v>5.198875</v>
      </c>
      <c r="P281" s="2" t="n">
        <v>2.338082820175035</v>
      </c>
      <c r="Q281" s="2" t="n">
        <v>28.056939</v>
      </c>
      <c r="R281" s="2" t="n">
        <v>5.674679243904658</v>
      </c>
      <c r="S281" s="2" t="n">
        <v>55.52393885243082</v>
      </c>
      <c r="T281" s="2" t="n">
        <v>123.46098911065148</v>
      </c>
      <c r="U281" s="2" t="n">
        <v>0.00045634730359095664</v>
      </c>
      <c r="V281" s="2" t="n">
        <v>14.890364324634344</v>
      </c>
      <c r="W281" s="2" t="n">
        <v>2.4507447445855725e-05</v>
      </c>
      <c r="X281" s="2" t="n">
        <v>599.007109981288</v>
      </c>
      <c r="Y281" s="2" t="n">
        <v>291.53888130931284</v>
      </c>
      <c r="Z281" s="2" t="n">
        <v>11.886849118376166</v>
      </c>
      <c r="AA281" s="2" t="n">
        <v>354.2122388235698</v>
      </c>
      <c r="AB281" s="2" t="n">
        <v>40.180085273209784</v>
      </c>
      <c r="AC281" s="2" t="n">
        <v>275.59735828924664</v>
      </c>
      <c r="AD281" s="2" t="n">
        <v>0.5654466163591881</v>
      </c>
      <c r="AE281" s="2" t="n">
        <v>337.5586055859592</v>
      </c>
      <c r="AF281" s="2" t="n">
        <v>355.0112864953161</v>
      </c>
      <c r="AG281" s="2" t="n">
        <v>318.120504763871</v>
      </c>
      <c r="AH281" s="2" t="n">
        <v>36.89078173144509</v>
      </c>
      <c r="AI281" s="2" t="n">
        <v>11.225772800901183</v>
      </c>
      <c r="AJ281" s="2" t="n">
        <v>352.95398424464605</v>
      </c>
      <c r="AK281" s="2" t="n">
        <v>354.2868625073727</v>
      </c>
      <c r="AL281" s="2" t="n">
        <v>354.9251579064977</v>
      </c>
      <c r="AM281" s="2" t="n">
        <v>13069672505.74431</v>
      </c>
      <c r="AN281" s="2" t="n">
        <v>12983648119.088383</v>
      </c>
      <c r="AO281" s="2" t="n">
        <v>338.11635331785703</v>
      </c>
      <c r="AP281" s="2" t="n">
        <v>316.27575407012006</v>
      </c>
      <c r="AQ281" s="2" t="n">
        <v>5.444178821334707</v>
      </c>
      <c r="AR281" s="2" t="n">
        <v>30.30240622787385</v>
      </c>
      <c r="AS281" s="2" t="n">
        <v>4.931868634423594</v>
      </c>
      <c r="AT281" s="2" t="n">
        <v>2.2472846151293595</v>
      </c>
      <c r="AU281" s="2" t="n">
        <v>303.6203899195305</v>
      </c>
      <c r="AV281" s="2" t="n">
        <v>9.795400046641591e-11</v>
      </c>
      <c r="AW281" s="2" t="n">
        <v>-1.7551124230621374e-05</v>
      </c>
      <c r="AX281" s="2" t="n">
        <v>207</v>
      </c>
      <c r="AY281" s="2" t="n">
        <v>9.814505119720707e-07</v>
      </c>
      <c r="AZ281" s="2" t="s">
        <v>131</v>
      </c>
      <c r="BA281" s="2" t="n">
        <v>4.48</v>
      </c>
      <c r="BB281" s="2" t="s">
        <v>132</v>
      </c>
      <c r="BC281" s="2" t="n">
        <v>4</v>
      </c>
      <c r="BD281" s="2" t="s">
        <v>133</v>
      </c>
      <c r="BE281" s="2" t="n">
        <v>3000</v>
      </c>
      <c r="BF281" s="2" t="s">
        <v>134</v>
      </c>
      <c r="BG281" s="2" t="n">
        <v>120</v>
      </c>
    </row>
    <row r="282" customFormat="false" ht="15" hidden="false" customHeight="false" outlineLevel="0" collapsed="false">
      <c r="A282" s="2" t="s">
        <v>415</v>
      </c>
      <c r="B282" s="2" t="s">
        <v>128</v>
      </c>
      <c r="C282" s="2" t="s">
        <v>129</v>
      </c>
      <c r="D282" s="2" t="s">
        <v>285</v>
      </c>
      <c r="E282" s="2" t="n">
        <v>0</v>
      </c>
      <c r="F282" s="2" t="n">
        <v>672.4296377406956</v>
      </c>
      <c r="G282" s="2" t="n">
        <v>329.36468098198833</v>
      </c>
      <c r="H282" s="2" t="n">
        <v>306.48399168588895</v>
      </c>
      <c r="I282" s="2" t="n">
        <v>1.362693012568352</v>
      </c>
      <c r="J282" s="2" t="n">
        <v>0.0034942712340603485</v>
      </c>
      <c r="K282" s="2" t="n">
        <v>0.00029118926950502905</v>
      </c>
      <c r="L282" s="2" t="n">
        <v>35.51235807354141</v>
      </c>
      <c r="M282" s="2" t="n">
        <v>0.7385535151688397</v>
      </c>
      <c r="N282" s="2" t="n">
        <v>1.4789881876562316</v>
      </c>
      <c r="O282" s="2" t="n">
        <v>5.198875</v>
      </c>
      <c r="P282" s="2" t="n">
        <v>3.839647406173402</v>
      </c>
      <c r="Q282" s="2" t="n">
        <v>28.056939</v>
      </c>
      <c r="R282" s="2" t="n">
        <v>15.303974274173797</v>
      </c>
      <c r="S282" s="2" t="n">
        <v>121.60584769271247</v>
      </c>
      <c r="T282" s="2" t="n">
        <v>164.6540774569495</v>
      </c>
      <c r="U282" s="2" t="n">
        <v>0.00044370057859950495</v>
      </c>
      <c r="V282" s="2" t="n">
        <v>10.816110926181528</v>
      </c>
      <c r="W282" s="2" t="n">
        <v>3.790814972293074e-05</v>
      </c>
      <c r="X282" s="2" t="n">
        <v>436.3442989374015</v>
      </c>
      <c r="Y282" s="2" t="n">
        <v>296.1766187085316</v>
      </c>
      <c r="Z282" s="2" t="n">
        <v>10.878233447759737</v>
      </c>
      <c r="AA282" s="2" t="n">
        <v>342.6166964780565</v>
      </c>
      <c r="AB282" s="2" t="n">
        <v>13.252015496068168</v>
      </c>
      <c r="AC282" s="2" t="n">
        <v>193.55965074235382</v>
      </c>
      <c r="AD282" s="2" t="n">
        <v>0.5451726501077575</v>
      </c>
      <c r="AE282" s="2" t="n">
        <v>337.5229636575482</v>
      </c>
      <c r="AF282" s="2" t="n">
        <v>343.50091937013985</v>
      </c>
      <c r="AG282" s="2" t="n">
        <v>331.1832176326217</v>
      </c>
      <c r="AH282" s="2" t="n">
        <v>12.317701737518178</v>
      </c>
      <c r="AI282" s="2" t="n">
        <v>3.7295803638497818</v>
      </c>
      <c r="AJ282" s="2" t="n">
        <v>342.70277566442013</v>
      </c>
      <c r="AK282" s="2" t="n">
        <v>343.18642665171103</v>
      </c>
      <c r="AL282" s="2" t="n">
        <v>343.45369734035756</v>
      </c>
      <c r="AM282" s="2" t="n">
        <v>12987669722.94747</v>
      </c>
      <c r="AN282" s="2" t="n">
        <v>12978165350.034407</v>
      </c>
      <c r="AO282" s="2" t="n">
        <v>337.58474171743904</v>
      </c>
      <c r="AP282" s="2" t="n">
        <v>230.38978983894802</v>
      </c>
      <c r="AQ282" s="2" t="n">
        <v>4.918830490302047</v>
      </c>
      <c r="AR282" s="2" t="n">
        <v>27.446099707041647</v>
      </c>
      <c r="AS282" s="2" t="n">
        <v>4.465262682085748</v>
      </c>
      <c r="AT282" s="2" t="n">
        <v>2.247305464336812</v>
      </c>
      <c r="AU282" s="2" t="n">
        <v>306.78376611477796</v>
      </c>
      <c r="AV282" s="2" t="n">
        <v>8.526228612026897e-11</v>
      </c>
      <c r="AW282" s="2" t="n">
        <v>-2.191211105767461e-05</v>
      </c>
      <c r="AX282" s="2" t="n">
        <v>115</v>
      </c>
      <c r="AY282" s="2" t="n">
        <v>9.60208808464813e-07</v>
      </c>
      <c r="AZ282" s="2" t="s">
        <v>131</v>
      </c>
      <c r="BA282" s="2" t="n">
        <v>4.48</v>
      </c>
      <c r="BB282" s="2" t="s">
        <v>132</v>
      </c>
      <c r="BC282" s="2" t="n">
        <v>4</v>
      </c>
      <c r="BD282" s="2" t="s">
        <v>133</v>
      </c>
      <c r="BE282" s="2" t="n">
        <v>3000</v>
      </c>
      <c r="BF282" s="2" t="s">
        <v>134</v>
      </c>
      <c r="BG282" s="2" t="n">
        <v>120</v>
      </c>
    </row>
    <row r="283" customFormat="false" ht="15" hidden="false" customHeight="false" outlineLevel="0" collapsed="false">
      <c r="A283" s="2" t="s">
        <v>416</v>
      </c>
      <c r="B283" s="2" t="s">
        <v>128</v>
      </c>
      <c r="C283" s="2" t="s">
        <v>129</v>
      </c>
      <c r="D283" s="2" t="s">
        <v>285</v>
      </c>
      <c r="E283" s="2" t="n">
        <v>0</v>
      </c>
      <c r="F283" s="2" t="n">
        <v>830.7895723760521</v>
      </c>
      <c r="G283" s="2" t="n">
        <v>293.22766539722437</v>
      </c>
      <c r="H283" s="2" t="n">
        <v>308.9360625408148</v>
      </c>
      <c r="I283" s="2" t="n">
        <v>4.768780697743885</v>
      </c>
      <c r="J283" s="2" t="n">
        <v>0.0036163291701698996</v>
      </c>
      <c r="K283" s="2" t="n">
        <v>0.000301360764180825</v>
      </c>
      <c r="L283" s="2" t="n">
        <v>20.021345686582976</v>
      </c>
      <c r="M283" s="2" t="n">
        <v>0.788776438786889</v>
      </c>
      <c r="N283" s="2" t="n">
        <v>1.2096714616805726</v>
      </c>
      <c r="O283" s="2" t="n">
        <v>5.198875</v>
      </c>
      <c r="P283" s="2" t="n">
        <v>4.100750108198188</v>
      </c>
      <c r="Q283" s="2" t="n">
        <v>28.056939</v>
      </c>
      <c r="R283" s="2" t="n">
        <v>17.45613720993662</v>
      </c>
      <c r="S283" s="2" t="n">
        <v>69.411597167648</v>
      </c>
      <c r="T283" s="2" t="n">
        <v>87.99907521882963</v>
      </c>
      <c r="U283" s="2" t="n">
        <v>0.0008044957578527421</v>
      </c>
      <c r="V283" s="2" t="n">
        <v>18.78698427109804</v>
      </c>
      <c r="W283" s="2" t="n">
        <v>6.814435229598288e-05</v>
      </c>
      <c r="X283" s="2" t="n">
        <v>539.1051690418268</v>
      </c>
      <c r="Y283" s="2" t="n">
        <v>299.7381264209471</v>
      </c>
      <c r="Z283" s="2" t="n">
        <v>23.821366651426764</v>
      </c>
      <c r="AA283" s="2" t="n">
        <v>312.23131847712494</v>
      </c>
      <c r="AB283" s="2" t="n">
        <v>19.003653079900573</v>
      </c>
      <c r="AC283" s="2" t="n">
        <v>287.264083585608</v>
      </c>
      <c r="AD283" s="2" t="n">
        <v>0.6548719223938645</v>
      </c>
      <c r="AE283" s="2" t="n">
        <v>305.0430757497472</v>
      </c>
      <c r="AF283" s="2" t="n">
        <v>313.61207022349595</v>
      </c>
      <c r="AG283" s="2" t="n">
        <v>296.04388521758995</v>
      </c>
      <c r="AH283" s="2" t="n">
        <v>17.568185005906003</v>
      </c>
      <c r="AI283" s="2" t="n">
        <v>5.338244589047892</v>
      </c>
      <c r="AJ283" s="2" t="n">
        <v>312.4322568071471</v>
      </c>
      <c r="AK283" s="2" t="n">
        <v>313.14828503643776</v>
      </c>
      <c r="AL283" s="2" t="n">
        <v>313.5471653772628</v>
      </c>
      <c r="AM283" s="2" t="n">
        <v>8674443562.715622</v>
      </c>
      <c r="AN283" s="2" t="n">
        <v>8658540349.132807</v>
      </c>
      <c r="AO283" s="2" t="n">
        <v>305.1830481714733</v>
      </c>
      <c r="AP283" s="2" t="n">
        <v>284.6475292540846</v>
      </c>
      <c r="AQ283" s="2" t="n">
        <v>-0.25647299165812365</v>
      </c>
      <c r="AR283" s="2" t="n">
        <v>-1.799993648443906</v>
      </c>
      <c r="AS283" s="2" t="n">
        <v>-0.5600445999267935</v>
      </c>
      <c r="AT283" s="2" t="n">
        <v>1.2729545695416664</v>
      </c>
      <c r="AU283" s="2" t="n">
        <v>307.0590401645763</v>
      </c>
      <c r="AV283" s="2" t="n">
        <v>1.0635005764925157e-10</v>
      </c>
      <c r="AW283" s="2" t="n">
        <v>-1.66044943456504e-05</v>
      </c>
      <c r="AX283" s="2" t="n">
        <v>106</v>
      </c>
      <c r="AY283" s="2" t="n">
        <v>9.273120440411731e-07</v>
      </c>
      <c r="AZ283" s="2" t="s">
        <v>131</v>
      </c>
      <c r="BA283" s="2" t="n">
        <v>4.48</v>
      </c>
      <c r="BB283" s="2" t="s">
        <v>132</v>
      </c>
      <c r="BC283" s="2" t="n">
        <v>4</v>
      </c>
      <c r="BD283" s="2" t="s">
        <v>133</v>
      </c>
      <c r="BE283" s="2" t="n">
        <v>3000</v>
      </c>
      <c r="BF283" s="2" t="s">
        <v>134</v>
      </c>
      <c r="BG283" s="2" t="n">
        <v>120</v>
      </c>
    </row>
    <row r="284" customFormat="false" ht="15" hidden="false" customHeight="false" outlineLevel="0" collapsed="false">
      <c r="A284" s="2" t="s">
        <v>417</v>
      </c>
      <c r="B284" s="2" t="s">
        <v>128</v>
      </c>
      <c r="C284" s="2" t="s">
        <v>129</v>
      </c>
      <c r="D284" s="2" t="s">
        <v>285</v>
      </c>
      <c r="E284" s="2" t="n">
        <v>0</v>
      </c>
      <c r="F284" s="2" t="n">
        <v>926.5794371608814</v>
      </c>
      <c r="G284" s="2" t="n">
        <v>291.25202907804385</v>
      </c>
      <c r="H284" s="2" t="n">
        <v>286.7030419540362</v>
      </c>
      <c r="I284" s="2" t="n">
        <v>1.7709791622691065</v>
      </c>
      <c r="J284" s="2" t="n">
        <v>0.0016660713578903925</v>
      </c>
      <c r="K284" s="2" t="n">
        <v>0.00013883927982419938</v>
      </c>
      <c r="L284" s="2" t="n">
        <v>27.167300699707987</v>
      </c>
      <c r="M284" s="2" t="n">
        <v>0.5520681363988706</v>
      </c>
      <c r="N284" s="2" t="n">
        <v>1.5016639349242529</v>
      </c>
      <c r="O284" s="2" t="n">
        <v>5.198875</v>
      </c>
      <c r="P284" s="2" t="n">
        <v>2.8701332326206788</v>
      </c>
      <c r="Q284" s="2" t="n">
        <v>28.056939</v>
      </c>
      <c r="R284" s="2" t="n">
        <v>8.55117218677289</v>
      </c>
      <c r="S284" s="2" t="n">
        <v>38.30541651953044</v>
      </c>
      <c r="T284" s="2" t="n">
        <v>69.38530589610896</v>
      </c>
      <c r="U284" s="2" t="n">
        <v>0.0006716163355024083</v>
      </c>
      <c r="V284" s="2" t="n">
        <v>13.870442467576781</v>
      </c>
      <c r="W284" s="2" t="n">
        <v>2.3178682965392394e-05</v>
      </c>
      <c r="X284" s="2" t="n">
        <v>601.263882829756</v>
      </c>
      <c r="Y284" s="2" t="n">
        <v>267.9708347156924</v>
      </c>
      <c r="Z284" s="2" t="n">
        <v>12.429720816622606</v>
      </c>
      <c r="AA284" s="2" t="n">
        <v>331.8826435647923</v>
      </c>
      <c r="AB284" s="2" t="n">
        <v>40.63061448674847</v>
      </c>
      <c r="AC284" s="2" t="n">
        <v>282.9588427484068</v>
      </c>
      <c r="AD284" s="2" t="n">
        <v>0.5783712412038566</v>
      </c>
      <c r="AE284" s="2" t="n">
        <v>315.0804178877297</v>
      </c>
      <c r="AF284" s="2" t="n">
        <v>332.75514891170536</v>
      </c>
      <c r="AG284" s="2" t="n">
        <v>295.53412806650095</v>
      </c>
      <c r="AH284" s="2" t="n">
        <v>37.22102084520441</v>
      </c>
      <c r="AI284" s="2" t="n">
        <v>11.354921812597215</v>
      </c>
      <c r="AJ284" s="2" t="n">
        <v>330.6801157631112</v>
      </c>
      <c r="AK284" s="2" t="n">
        <v>332.0253350375155</v>
      </c>
      <c r="AL284" s="2" t="n">
        <v>332.6688397569076</v>
      </c>
      <c r="AM284" s="2" t="n">
        <v>9932342439.636345</v>
      </c>
      <c r="AN284" s="2" t="n">
        <v>9855658601.592178</v>
      </c>
      <c r="AO284" s="2" t="n">
        <v>315.69152358134926</v>
      </c>
      <c r="AP284" s="2" t="n">
        <v>317.4673301341112</v>
      </c>
      <c r="AQ284" s="2" t="n">
        <v>3.9268827025620223</v>
      </c>
      <c r="AR284" s="2" t="n">
        <v>26.49929027361729</v>
      </c>
      <c r="AS284" s="2" t="n">
        <v>4.082365804123171</v>
      </c>
      <c r="AT284" s="2" t="n">
        <v>2.303136972134391</v>
      </c>
      <c r="AU284" s="2" t="n">
        <v>285.40163193422137</v>
      </c>
      <c r="AV284" s="2" t="n">
        <v>9.691262903288587e-11</v>
      </c>
      <c r="AW284" s="2" t="n">
        <v>-1.654435985660932e-05</v>
      </c>
      <c r="AX284" s="2" t="n">
        <v>196</v>
      </c>
      <c r="AY284" s="2" t="n">
        <v>9.583565656612336e-07</v>
      </c>
      <c r="AZ284" s="2" t="s">
        <v>131</v>
      </c>
      <c r="BA284" s="2" t="n">
        <v>4.48</v>
      </c>
      <c r="BB284" s="2" t="s">
        <v>132</v>
      </c>
      <c r="BC284" s="2" t="n">
        <v>4</v>
      </c>
      <c r="BD284" s="2" t="s">
        <v>133</v>
      </c>
      <c r="BE284" s="2" t="n">
        <v>3000</v>
      </c>
      <c r="BF284" s="2" t="s">
        <v>134</v>
      </c>
      <c r="BG284" s="2" t="n">
        <v>120</v>
      </c>
    </row>
    <row r="285" customFormat="false" ht="15" hidden="false" customHeight="false" outlineLevel="0" collapsed="false">
      <c r="A285" s="2" t="s">
        <v>418</v>
      </c>
      <c r="B285" s="2" t="s">
        <v>128</v>
      </c>
      <c r="C285" s="2" t="s">
        <v>129</v>
      </c>
      <c r="D285" s="2" t="s">
        <v>285</v>
      </c>
      <c r="E285" s="2" t="n">
        <v>0</v>
      </c>
      <c r="F285" s="2" t="n">
        <v>809.9949337933795</v>
      </c>
      <c r="G285" s="2" t="n">
        <v>294.76946839121695</v>
      </c>
      <c r="H285" s="2" t="n">
        <v>308.21290835269576</v>
      </c>
      <c r="I285" s="2" t="n">
        <v>4.45307239336638</v>
      </c>
      <c r="J285" s="2" t="n">
        <v>0.002245329521956139</v>
      </c>
      <c r="K285" s="2" t="n">
        <v>0.0001871107934963449</v>
      </c>
      <c r="L285" s="2" t="n">
        <v>20.216095136383753</v>
      </c>
      <c r="M285" s="2" t="n">
        <v>0.8993579984919039</v>
      </c>
      <c r="N285" s="2" t="n">
        <v>1.6878583928836937</v>
      </c>
      <c r="O285" s="2" t="n">
        <v>5.198875</v>
      </c>
      <c r="P285" s="2" t="n">
        <v>4.6756498144095975</v>
      </c>
      <c r="Q285" s="2" t="n">
        <v>28.056939</v>
      </c>
      <c r="R285" s="2" t="n">
        <v>22.69370947924353</v>
      </c>
      <c r="S285" s="2" t="n">
        <v>49.31520969628123</v>
      </c>
      <c r="T285" s="2" t="n">
        <v>54.83379230403894</v>
      </c>
      <c r="U285" s="2" t="n">
        <v>0.0007030513458773948</v>
      </c>
      <c r="V285" s="2" t="n">
        <v>7.640403376219643</v>
      </c>
      <c r="W285" s="2" t="n">
        <v>1.7206843791654282e-05</v>
      </c>
      <c r="X285" s="2" t="n">
        <v>525.6113825030603</v>
      </c>
      <c r="Y285" s="2" t="n">
        <v>298.68630690556546</v>
      </c>
      <c r="Z285" s="2" t="n">
        <v>22.62167509479224</v>
      </c>
      <c r="AA285" s="2" t="n">
        <v>323.70448206120824</v>
      </c>
      <c r="AB285" s="2" t="n">
        <v>28.935013669991292</v>
      </c>
      <c r="AC285" s="2" t="n">
        <v>271.56891691980206</v>
      </c>
      <c r="AD285" s="2" t="n">
        <v>0.6349855393726063</v>
      </c>
      <c r="AE285" s="2" t="n">
        <v>311.9053608061484</v>
      </c>
      <c r="AF285" s="2" t="n">
        <v>324.69803841082575</v>
      </c>
      <c r="AG285" s="2" t="n">
        <v>298.10554624915704</v>
      </c>
      <c r="AH285" s="2" t="n">
        <v>26.5924921616687</v>
      </c>
      <c r="AI285" s="2" t="n">
        <v>8.105712294081728</v>
      </c>
      <c r="AJ285" s="2" t="n">
        <v>323.1028877969277</v>
      </c>
      <c r="AK285" s="2" t="n">
        <v>324.1217894826956</v>
      </c>
      <c r="AL285" s="2" t="n">
        <v>324.6249912407116</v>
      </c>
      <c r="AM285" s="2" t="n">
        <v>9502679290.614119</v>
      </c>
      <c r="AN285" s="2" t="n">
        <v>9464362294.163927</v>
      </c>
      <c r="AO285" s="2" t="n">
        <v>312.22057419392</v>
      </c>
      <c r="AP285" s="2" t="n">
        <v>277.52280996161585</v>
      </c>
      <c r="AQ285" s="2" t="n">
        <v>0.7787755164175806</v>
      </c>
      <c r="AR285" s="2" t="n">
        <v>4.64396577999012</v>
      </c>
      <c r="AS285" s="2" t="n">
        <v>0.531195754834678</v>
      </c>
      <c r="AT285" s="2" t="n">
        <v>3.0538815926116656</v>
      </c>
      <c r="AU285" s="2" t="n">
        <v>306.7041925885616</v>
      </c>
      <c r="AV285" s="2" t="n">
        <v>9.229154329659651e-11</v>
      </c>
      <c r="AW285" s="2" t="n">
        <v>-1.6519761169718796e-05</v>
      </c>
      <c r="AX285" s="2" t="n">
        <v>155</v>
      </c>
      <c r="AY285" s="2" t="n">
        <v>8.912851967579627e-07</v>
      </c>
      <c r="AZ285" s="2" t="s">
        <v>131</v>
      </c>
      <c r="BA285" s="2" t="n">
        <v>4.48</v>
      </c>
      <c r="BB285" s="2" t="s">
        <v>132</v>
      </c>
      <c r="BC285" s="2" t="n">
        <v>4</v>
      </c>
      <c r="BD285" s="2" t="s">
        <v>133</v>
      </c>
      <c r="BE285" s="2" t="n">
        <v>3000</v>
      </c>
      <c r="BF285" s="2" t="s">
        <v>134</v>
      </c>
      <c r="BG285" s="2" t="n">
        <v>120</v>
      </c>
    </row>
    <row r="286" customFormat="false" ht="15" hidden="false" customHeight="false" outlineLevel="0" collapsed="false">
      <c r="A286" s="2" t="s">
        <v>419</v>
      </c>
      <c r="B286" s="2" t="s">
        <v>128</v>
      </c>
      <c r="C286" s="2" t="s">
        <v>129</v>
      </c>
      <c r="D286" s="2" t="s">
        <v>285</v>
      </c>
      <c r="E286" s="2" t="n">
        <v>0</v>
      </c>
      <c r="F286" s="2" t="n">
        <v>881.2739249847968</v>
      </c>
      <c r="G286" s="2" t="n">
        <v>332.69332127602803</v>
      </c>
      <c r="H286" s="2" t="n">
        <v>305.87155629588347</v>
      </c>
      <c r="I286" s="2" t="n">
        <v>1.5469332780786256</v>
      </c>
      <c r="J286" s="2" t="n">
        <v>0.0014274932510156396</v>
      </c>
      <c r="K286" s="2" t="n">
        <v>0.00011895777091796997</v>
      </c>
      <c r="L286" s="2" t="n">
        <v>34.71398964967647</v>
      </c>
      <c r="M286" s="2" t="n">
        <v>0.4602800573415967</v>
      </c>
      <c r="N286" s="2" t="n">
        <v>1.4228540122027726</v>
      </c>
      <c r="O286" s="2" t="n">
        <v>5.198875</v>
      </c>
      <c r="P286" s="2" t="n">
        <v>2.3929384831117937</v>
      </c>
      <c r="Q286" s="2" t="n">
        <v>28.056939</v>
      </c>
      <c r="R286" s="2" t="n">
        <v>5.944079440574761</v>
      </c>
      <c r="S286" s="2" t="n">
        <v>62.71558688616674</v>
      </c>
      <c r="T286" s="2" t="n">
        <v>136.25527738131478</v>
      </c>
      <c r="U286" s="2" t="n">
        <v>0.0003514685053167876</v>
      </c>
      <c r="V286" s="2" t="n">
        <v>9.561825570583583</v>
      </c>
      <c r="W286" s="2" t="n">
        <v>1.3690513008422099e-05</v>
      </c>
      <c r="X286" s="2" t="n">
        <v>571.8648188401095</v>
      </c>
      <c r="Y286" s="2" t="n">
        <v>295.2893045160128</v>
      </c>
      <c r="Z286" s="2" t="n">
        <v>11.578346456698778</v>
      </c>
      <c r="AA286" s="2" t="n">
        <v>373.40644479946246</v>
      </c>
      <c r="AB286" s="2" t="n">
        <v>40.71312352343443</v>
      </c>
      <c r="AC286" s="2" t="n">
        <v>242.9320238602193</v>
      </c>
      <c r="AD286" s="2" t="n">
        <v>0.5220834487372714</v>
      </c>
      <c r="AE286" s="2" t="n">
        <v>356.5027706714957</v>
      </c>
      <c r="AF286" s="2" t="n">
        <v>374.0178978593597</v>
      </c>
      <c r="AG286" s="2" t="n">
        <v>336.6882464720883</v>
      </c>
      <c r="AH286" s="2" t="n">
        <v>37.32965138727144</v>
      </c>
      <c r="AI286" s="2" t="n">
        <v>11.364462974440826</v>
      </c>
      <c r="AJ286" s="2" t="n">
        <v>372.0387288825249</v>
      </c>
      <c r="AK286" s="2" t="n">
        <v>373.3162074131085</v>
      </c>
      <c r="AL286" s="2" t="n">
        <v>373.9339258520699</v>
      </c>
      <c r="AM286" s="2" t="n">
        <v>16251253886.29231</v>
      </c>
      <c r="AN286" s="2" t="n">
        <v>16152942154.543255</v>
      </c>
      <c r="AO286" s="2" t="n">
        <v>357.04398313319956</v>
      </c>
      <c r="AP286" s="2" t="n">
        <v>301.9446243475778</v>
      </c>
      <c r="AQ286" s="2" t="n">
        <v>8.607845584747542</v>
      </c>
      <c r="AR286" s="2" t="n">
        <v>43.12101028822594</v>
      </c>
      <c r="AS286" s="2" t="n">
        <v>7.283800259445836</v>
      </c>
      <c r="AT286" s="2" t="n">
        <v>2.207458189184781</v>
      </c>
      <c r="AU286" s="2" t="n">
        <v>308.20792121594485</v>
      </c>
      <c r="AV286" s="2" t="n">
        <v>1.139650862569397e-10</v>
      </c>
      <c r="AW286" s="2" t="n">
        <v>-1.9303419850200614e-05</v>
      </c>
      <c r="AX286" s="2" t="n">
        <v>239</v>
      </c>
      <c r="AY286" s="2" t="n">
        <v>9.752075129654258e-07</v>
      </c>
      <c r="AZ286" s="2" t="s">
        <v>131</v>
      </c>
      <c r="BA286" s="2" t="n">
        <v>4.48</v>
      </c>
      <c r="BB286" s="2" t="s">
        <v>132</v>
      </c>
      <c r="BC286" s="2" t="n">
        <v>4</v>
      </c>
      <c r="BD286" s="2" t="s">
        <v>133</v>
      </c>
      <c r="BE286" s="2" t="n">
        <v>3000</v>
      </c>
      <c r="BF286" s="2" t="s">
        <v>134</v>
      </c>
      <c r="BG286" s="2" t="n">
        <v>120</v>
      </c>
    </row>
    <row r="287" customFormat="false" ht="15" hidden="false" customHeight="false" outlineLevel="0" collapsed="false">
      <c r="A287" s="2" t="s">
        <v>420</v>
      </c>
      <c r="B287" s="2" t="s">
        <v>128</v>
      </c>
      <c r="C287" s="2" t="s">
        <v>129</v>
      </c>
      <c r="D287" s="2" t="s">
        <v>285</v>
      </c>
      <c r="E287" s="2" t="n">
        <v>0</v>
      </c>
      <c r="F287" s="2" t="n">
        <v>451.63881063095863</v>
      </c>
      <c r="G287" s="2" t="n">
        <v>322.3419577949397</v>
      </c>
      <c r="H287" s="2" t="n">
        <v>284.9876282481248</v>
      </c>
      <c r="I287" s="2" t="n">
        <v>0.18913035708911285</v>
      </c>
      <c r="J287" s="2" t="n">
        <v>0.0016955333980452148</v>
      </c>
      <c r="K287" s="2" t="n">
        <v>0.00014129444983710122</v>
      </c>
      <c r="L287" s="2" t="n">
        <v>36.6755709562799</v>
      </c>
      <c r="M287" s="2" t="n">
        <v>0.6605843763183242</v>
      </c>
      <c r="N287" s="2" t="n">
        <v>0.9937521323790903</v>
      </c>
      <c r="O287" s="2" t="n">
        <v>5.198875</v>
      </c>
      <c r="P287" s="2" t="n">
        <v>3.434295599431928</v>
      </c>
      <c r="Q287" s="2" t="n">
        <v>28.056939</v>
      </c>
      <c r="R287" s="2" t="n">
        <v>12.243254679868976</v>
      </c>
      <c r="S287" s="2" t="n">
        <v>53.412801435036734</v>
      </c>
      <c r="T287" s="2" t="n">
        <v>80.85689481898679</v>
      </c>
      <c r="U287" s="2" t="n">
        <v>0.000490172377033533</v>
      </c>
      <c r="V287" s="2" t="n">
        <v>8.307966476543784</v>
      </c>
      <c r="W287" s="2" t="n">
        <v>1.412882109410232e-05</v>
      </c>
      <c r="X287" s="2" t="n">
        <v>293.0715856901034</v>
      </c>
      <c r="Y287" s="2" t="n">
        <v>265.5694341748984</v>
      </c>
      <c r="Z287" s="2" t="n">
        <v>6.418695356938629</v>
      </c>
      <c r="AA287" s="2" t="n">
        <v>336.67397250419856</v>
      </c>
      <c r="AB287" s="2" t="n">
        <v>14.332014709258885</v>
      </c>
      <c r="AC287" s="2" t="n">
        <v>101.57571213144314</v>
      </c>
      <c r="AD287" s="2" t="n">
        <v>0.4259559589319332</v>
      </c>
      <c r="AE287" s="2" t="n">
        <v>330.7278645253113</v>
      </c>
      <c r="AF287" s="2" t="n">
        <v>336.9837400505883</v>
      </c>
      <c r="AG287" s="2" t="n">
        <v>323.79733253713084</v>
      </c>
      <c r="AH287" s="2" t="n">
        <v>13.186407513457482</v>
      </c>
      <c r="AI287" s="2" t="n">
        <v>4.015381330251342</v>
      </c>
      <c r="AJ287" s="2" t="n">
        <v>336.2414862002468</v>
      </c>
      <c r="AK287" s="2" t="n">
        <v>336.72232838168526</v>
      </c>
      <c r="AL287" s="2" t="n">
        <v>336.9527323878871</v>
      </c>
      <c r="AM287" s="2" t="n">
        <v>11974760151.406885</v>
      </c>
      <c r="AN287" s="2" t="n">
        <v>11964185741.747969</v>
      </c>
      <c r="AO287" s="2" t="n">
        <v>330.8009178335437</v>
      </c>
      <c r="AP287" s="2" t="n">
        <v>154.7417972443746</v>
      </c>
      <c r="AQ287" s="2" t="n">
        <v>6.333134833437019</v>
      </c>
      <c r="AR287" s="2" t="n">
        <v>40.25281634257066</v>
      </c>
      <c r="AS287" s="2" t="n">
        <v>6.58018475305147</v>
      </c>
      <c r="AT287" s="2" t="n">
        <v>2.20141720315375</v>
      </c>
      <c r="AU287" s="2" t="n">
        <v>285.6453469211912</v>
      </c>
      <c r="AV287" s="2" t="n">
        <v>9.229154329659652e-11</v>
      </c>
      <c r="AW287" s="2" t="n">
        <v>-3.450377981924172e-05</v>
      </c>
      <c r="AX287" s="2" t="n">
        <v>212</v>
      </c>
      <c r="AY287" s="2" t="n">
        <v>9.683483312983299e-07</v>
      </c>
      <c r="AZ287" s="2" t="s">
        <v>131</v>
      </c>
      <c r="BA287" s="2" t="n">
        <v>4.48</v>
      </c>
      <c r="BB287" s="2" t="s">
        <v>132</v>
      </c>
      <c r="BC287" s="2" t="n">
        <v>4</v>
      </c>
      <c r="BD287" s="2" t="s">
        <v>133</v>
      </c>
      <c r="BE287" s="2" t="n">
        <v>3000</v>
      </c>
      <c r="BF287" s="2" t="s">
        <v>134</v>
      </c>
      <c r="BG287" s="2" t="n">
        <v>120</v>
      </c>
    </row>
    <row r="288" customFormat="false" ht="15" hidden="false" customHeight="false" outlineLevel="0" collapsed="false">
      <c r="A288" s="2" t="s">
        <v>421</v>
      </c>
      <c r="B288" s="2" t="s">
        <v>128</v>
      </c>
      <c r="C288" s="2" t="s">
        <v>129</v>
      </c>
      <c r="D288" s="2" t="s">
        <v>285</v>
      </c>
      <c r="E288" s="2" t="n">
        <v>0</v>
      </c>
      <c r="F288" s="2" t="n">
        <v>581.9420367705344</v>
      </c>
      <c r="G288" s="2" t="n">
        <v>331.4027597592156</v>
      </c>
      <c r="H288" s="2" t="n">
        <v>287.96431818624563</v>
      </c>
      <c r="I288" s="2" t="n">
        <v>0.3415340704500176</v>
      </c>
      <c r="J288" s="2" t="n">
        <v>0.0022790504803201633</v>
      </c>
      <c r="K288" s="2" t="n">
        <v>0.00018992087336001362</v>
      </c>
      <c r="L288" s="2" t="n">
        <v>24.84929936146778</v>
      </c>
      <c r="M288" s="2" t="n">
        <v>0.4690982478345903</v>
      </c>
      <c r="N288" s="2" t="n">
        <v>1.9146470886923663</v>
      </c>
      <c r="O288" s="2" t="n">
        <v>5.198875</v>
      </c>
      <c r="P288" s="2" t="n">
        <v>2.4387831532110558</v>
      </c>
      <c r="Q288" s="2" t="n">
        <v>28.056939</v>
      </c>
      <c r="R288" s="2" t="n">
        <v>6.1740182586273065</v>
      </c>
      <c r="S288" s="2" t="n">
        <v>82.54794059945067</v>
      </c>
      <c r="T288" s="2" t="n">
        <v>175.97153896971724</v>
      </c>
      <c r="U288" s="2" t="n">
        <v>0.00042631983912456577</v>
      </c>
      <c r="V288" s="2" t="n">
        <v>14.878038754010051</v>
      </c>
      <c r="W288" s="2" t="n">
        <v>3.4009830861132e-05</v>
      </c>
      <c r="X288" s="2" t="n">
        <v>377.6262612546571</v>
      </c>
      <c r="Y288" s="2" t="n">
        <v>269.74108115317983</v>
      </c>
      <c r="Z288" s="2" t="n">
        <v>6.997829467710067</v>
      </c>
      <c r="AA288" s="2" t="n">
        <v>346.0350678723611</v>
      </c>
      <c r="AB288" s="2" t="n">
        <v>14.632308113145484</v>
      </c>
      <c r="AC288" s="2" t="n">
        <v>139.39367372384956</v>
      </c>
      <c r="AD288" s="2" t="n">
        <v>0.4536588753694594</v>
      </c>
      <c r="AE288" s="2" t="n">
        <v>340.04310821007687</v>
      </c>
      <c r="AF288" s="2" t="n">
        <v>346.55629524544304</v>
      </c>
      <c r="AG288" s="2" t="n">
        <v>333.0018806278059</v>
      </c>
      <c r="AH288" s="2" t="n">
        <v>13.554414617637121</v>
      </c>
      <c r="AI288" s="2" t="n">
        <v>4.120446912115137</v>
      </c>
      <c r="AJ288" s="2" t="n">
        <v>345.74638668056735</v>
      </c>
      <c r="AK288" s="2" t="n">
        <v>346.26814376387296</v>
      </c>
      <c r="AL288" s="2" t="n">
        <v>346.51967900018997</v>
      </c>
      <c r="AM288" s="2" t="n">
        <v>13381911608.38506</v>
      </c>
      <c r="AN288" s="2" t="n">
        <v>13370138589.393606</v>
      </c>
      <c r="AO288" s="2" t="n">
        <v>340.1179393852206</v>
      </c>
      <c r="AP288" s="2" t="n">
        <v>199.38666594245896</v>
      </c>
      <c r="AQ288" s="2" t="n">
        <v>7.549481952668058</v>
      </c>
      <c r="AR288" s="2" t="n">
        <v>44.95151574518435</v>
      </c>
      <c r="AS288" s="2" t="n">
        <v>7.4920483137754195</v>
      </c>
      <c r="AT288" s="2" t="n">
        <v>2.1817536711419367</v>
      </c>
      <c r="AU288" s="2" t="n">
        <v>289.69812159678173</v>
      </c>
      <c r="AV288" s="2" t="n">
        <v>9.417902901986963e-11</v>
      </c>
      <c r="AW288" s="2" t="n">
        <v>-2.5808781893058773e-05</v>
      </c>
      <c r="AX288" s="2" t="n">
        <v>163</v>
      </c>
      <c r="AY288" s="2" t="n">
        <v>9.72393706888397e-07</v>
      </c>
      <c r="AZ288" s="2" t="s">
        <v>131</v>
      </c>
      <c r="BA288" s="2" t="n">
        <v>4.48</v>
      </c>
      <c r="BB288" s="2" t="s">
        <v>132</v>
      </c>
      <c r="BC288" s="2" t="n">
        <v>4</v>
      </c>
      <c r="BD288" s="2" t="s">
        <v>133</v>
      </c>
      <c r="BE288" s="2" t="n">
        <v>3000</v>
      </c>
      <c r="BF288" s="2" t="s">
        <v>134</v>
      </c>
      <c r="BG288" s="2" t="n">
        <v>120</v>
      </c>
    </row>
    <row r="289" customFormat="false" ht="15" hidden="false" customHeight="false" outlineLevel="0" collapsed="false">
      <c r="A289" s="2" t="s">
        <v>422</v>
      </c>
      <c r="B289" s="2" t="s">
        <v>128</v>
      </c>
      <c r="C289" s="2" t="s">
        <v>129</v>
      </c>
      <c r="D289" s="2" t="s">
        <v>285</v>
      </c>
      <c r="E289" s="2" t="n">
        <v>0</v>
      </c>
      <c r="F289" s="2" t="n">
        <v>502.49678993967154</v>
      </c>
      <c r="G289" s="2" t="n">
        <v>316.8603209517608</v>
      </c>
      <c r="H289" s="2" t="n">
        <v>300.4433205887951</v>
      </c>
      <c r="I289" s="2" t="n">
        <v>0.6414837858008955</v>
      </c>
      <c r="J289" s="2" t="n">
        <v>0.0036631044567883592</v>
      </c>
      <c r="K289" s="2" t="n">
        <v>0.00030525870473236327</v>
      </c>
      <c r="L289" s="2" t="n">
        <v>33.583715460601944</v>
      </c>
      <c r="M289" s="2" t="n">
        <v>0.501728892024569</v>
      </c>
      <c r="N289" s="2" t="n">
        <v>0.5908480233263039</v>
      </c>
      <c r="O289" s="2" t="n">
        <v>5.198875</v>
      </c>
      <c r="P289" s="2" t="n">
        <v>2.6084257935242317</v>
      </c>
      <c r="Q289" s="2" t="n">
        <v>28.056939</v>
      </c>
      <c r="R289" s="2" t="n">
        <v>7.062826032159156</v>
      </c>
      <c r="S289" s="2" t="n">
        <v>101.17472085088538</v>
      </c>
      <c r="T289" s="2" t="n">
        <v>201.65217203782436</v>
      </c>
      <c r="U289" s="2" t="n">
        <v>0.0005590686373556934</v>
      </c>
      <c r="V289" s="2" t="n">
        <v>51.281194264850434</v>
      </c>
      <c r="W289" s="2" t="n">
        <v>0.00018841361209729515</v>
      </c>
      <c r="X289" s="2" t="n">
        <v>326.0736844693824</v>
      </c>
      <c r="Y289" s="2" t="n">
        <v>287.46363148832484</v>
      </c>
      <c r="Z289" s="2" t="n">
        <v>8.137638386043403</v>
      </c>
      <c r="AA289" s="2" t="n">
        <v>326.2904152121573</v>
      </c>
      <c r="AB289" s="2" t="n">
        <v>9.430094260396515</v>
      </c>
      <c r="AC289" s="2" t="n">
        <v>144.3914969091459</v>
      </c>
      <c r="AD289" s="2" t="n">
        <v>0.5442198828353542</v>
      </c>
      <c r="AE289" s="2" t="n">
        <v>322.72161205004767</v>
      </c>
      <c r="AF289" s="2" t="n">
        <v>326.98015329166356</v>
      </c>
      <c r="AG289" s="2" t="n">
        <v>318.21443206420736</v>
      </c>
      <c r="AH289" s="2" t="n">
        <v>8.765721227456197</v>
      </c>
      <c r="AI289" s="2" t="n">
        <v>2.6529171462287504</v>
      </c>
      <c r="AJ289" s="2" t="n">
        <v>326.4028154322132</v>
      </c>
      <c r="AK289" s="2" t="n">
        <v>326.75747481858065</v>
      </c>
      <c r="AL289" s="2" t="n">
        <v>326.94772072161516</v>
      </c>
      <c r="AM289" s="2" t="n">
        <v>10851460695.570145</v>
      </c>
      <c r="AN289" s="2" t="n">
        <v>10847063960.154297</v>
      </c>
      <c r="AO289" s="2" t="n">
        <v>322.75430997453657</v>
      </c>
      <c r="AP289" s="2" t="n">
        <v>172.1669053998339</v>
      </c>
      <c r="AQ289" s="2" t="n">
        <v>3.403281490690111</v>
      </c>
      <c r="AR289" s="2" t="n">
        <v>21.167230651612027</v>
      </c>
      <c r="AS289" s="2" t="n">
        <v>3.204952263670063</v>
      </c>
      <c r="AT289" s="2" t="n">
        <v>2.3612645707039785</v>
      </c>
      <c r="AU289" s="2" t="n">
        <v>299.0146485332479</v>
      </c>
      <c r="AV289" s="2" t="n">
        <v>9.710788617667273e-11</v>
      </c>
      <c r="AW289" s="2" t="n">
        <v>-2.9835484595865183e-05</v>
      </c>
      <c r="AX289" s="2" t="n">
        <v>110</v>
      </c>
      <c r="AY289" s="2" t="n">
        <v>9.864062349151936e-07</v>
      </c>
      <c r="AZ289" s="2" t="s">
        <v>131</v>
      </c>
      <c r="BA289" s="2" t="n">
        <v>4.48</v>
      </c>
      <c r="BB289" s="2" t="s">
        <v>132</v>
      </c>
      <c r="BC289" s="2" t="n">
        <v>4</v>
      </c>
      <c r="BD289" s="2" t="s">
        <v>133</v>
      </c>
      <c r="BE289" s="2" t="n">
        <v>3000</v>
      </c>
      <c r="BF289" s="2" t="s">
        <v>134</v>
      </c>
      <c r="BG289" s="2" t="n">
        <v>120</v>
      </c>
    </row>
    <row r="290" customFormat="false" ht="15" hidden="false" customHeight="false" outlineLevel="0" collapsed="false">
      <c r="A290" s="2" t="s">
        <v>423</v>
      </c>
      <c r="B290" s="2" t="s">
        <v>128</v>
      </c>
      <c r="C290" s="2" t="s">
        <v>129</v>
      </c>
      <c r="D290" s="2" t="s">
        <v>285</v>
      </c>
      <c r="E290" s="2" t="n">
        <v>0</v>
      </c>
      <c r="F290" s="2" t="n">
        <v>729.9377281305843</v>
      </c>
      <c r="G290" s="2" t="n">
        <v>309.2858475546416</v>
      </c>
      <c r="H290" s="2" t="n">
        <v>297.3094322388809</v>
      </c>
      <c r="I290" s="2" t="n">
        <v>2.8170217868530645</v>
      </c>
      <c r="J290" s="2" t="n">
        <v>0.0020027691746661463</v>
      </c>
      <c r="K290" s="2" t="n">
        <v>0.00016689743122217887</v>
      </c>
      <c r="L290" s="2" t="n">
        <v>21.93922619932155</v>
      </c>
      <c r="M290" s="2" t="n">
        <v>0.7845903310425664</v>
      </c>
      <c r="N290" s="2" t="n">
        <v>0.6052606466752714</v>
      </c>
      <c r="O290" s="2" t="n">
        <v>5.198875</v>
      </c>
      <c r="P290" s="2" t="n">
        <v>4.078987057298923</v>
      </c>
      <c r="Q290" s="2" t="n">
        <v>28.056939</v>
      </c>
      <c r="R290" s="2" t="n">
        <v>17.27134627462354</v>
      </c>
      <c r="S290" s="2" t="n">
        <v>55.96897275825487</v>
      </c>
      <c r="T290" s="2" t="n">
        <v>71.33528230443919</v>
      </c>
      <c r="U290" s="2" t="n">
        <v>0.0005525497718243229</v>
      </c>
      <c r="V290" s="2" t="n">
        <v>8.412797131029363</v>
      </c>
      <c r="W290" s="2" t="n">
        <v>1.6899589535351457e-05</v>
      </c>
      <c r="X290" s="2" t="n">
        <v>473.661701348033</v>
      </c>
      <c r="Y290" s="2" t="n">
        <v>282.97763267964046</v>
      </c>
      <c r="Z290" s="2" t="n">
        <v>16.404682790041644</v>
      </c>
      <c r="AA290" s="2" t="n">
        <v>335.23103560462886</v>
      </c>
      <c r="AB290" s="2" t="n">
        <v>25.94518804998728</v>
      </c>
      <c r="AC290" s="2" t="n">
        <v>217.20209154406155</v>
      </c>
      <c r="AD290" s="2" t="n">
        <v>0.563565331353493</v>
      </c>
      <c r="AE290" s="2" t="n">
        <v>324.5449411457265</v>
      </c>
      <c r="AF290" s="2" t="n">
        <v>335.9630412210959</v>
      </c>
      <c r="AG290" s="2" t="n">
        <v>312.0808785247313</v>
      </c>
      <c r="AH290" s="2" t="n">
        <v>23.882162696364617</v>
      </c>
      <c r="AI290" s="2" t="n">
        <v>7.27372525563296</v>
      </c>
      <c r="AJ290" s="2" t="n">
        <v>334.5674710611197</v>
      </c>
      <c r="AK290" s="2" t="n">
        <v>335.46809442903566</v>
      </c>
      <c r="AL290" s="2" t="n">
        <v>335.9017816688129</v>
      </c>
      <c r="AM290" s="2" t="n">
        <v>11127691115.636591</v>
      </c>
      <c r="AN290" s="2" t="n">
        <v>11094286469.650581</v>
      </c>
      <c r="AO290" s="2" t="n">
        <v>324.78896515867234</v>
      </c>
      <c r="AP290" s="2" t="n">
        <v>250.09337831176143</v>
      </c>
      <c r="AQ290" s="2" t="n">
        <v>4.034284229267126</v>
      </c>
      <c r="AR290" s="2" t="n">
        <v>24.93894915238873</v>
      </c>
      <c r="AS290" s="2" t="n">
        <v>3.918096954383441</v>
      </c>
      <c r="AT290" s="2" t="n">
        <v>2.287238470181357</v>
      </c>
      <c r="AU290" s="2" t="n">
        <v>296.6137125672737</v>
      </c>
      <c r="AV290" s="2" t="n">
        <v>8.448125754512151e-11</v>
      </c>
      <c r="AW290" s="2" t="n">
        <v>-1.9107094775926953e-05</v>
      </c>
      <c r="AX290" s="2" t="n">
        <v>176</v>
      </c>
      <c r="AY290" s="2" t="n">
        <v>9.010962003230816e-07</v>
      </c>
      <c r="AZ290" s="2" t="s">
        <v>131</v>
      </c>
      <c r="BA290" s="2" t="n">
        <v>4.48</v>
      </c>
      <c r="BB290" s="2" t="s">
        <v>132</v>
      </c>
      <c r="BC290" s="2" t="n">
        <v>4</v>
      </c>
      <c r="BD290" s="2" t="s">
        <v>133</v>
      </c>
      <c r="BE290" s="2" t="n">
        <v>3000</v>
      </c>
      <c r="BF290" s="2" t="s">
        <v>134</v>
      </c>
      <c r="BG290" s="2" t="n">
        <v>120</v>
      </c>
    </row>
    <row r="291" customFormat="false" ht="15" hidden="false" customHeight="false" outlineLevel="0" collapsed="false">
      <c r="A291" s="2" t="s">
        <v>424</v>
      </c>
      <c r="B291" s="2" t="s">
        <v>128</v>
      </c>
      <c r="C291" s="2" t="s">
        <v>129</v>
      </c>
      <c r="D291" s="2" t="s">
        <v>285</v>
      </c>
      <c r="E291" s="2" t="n">
        <v>0</v>
      </c>
      <c r="F291" s="2" t="n">
        <v>637.8288814288446</v>
      </c>
      <c r="G291" s="2" t="n">
        <v>319.19758799417485</v>
      </c>
      <c r="H291" s="2" t="n">
        <v>288.7346004194854</v>
      </c>
      <c r="I291" s="2" t="n">
        <v>4.583090429532864</v>
      </c>
      <c r="J291" s="2" t="n">
        <v>0.002858853152232645</v>
      </c>
      <c r="K291" s="2" t="n">
        <v>0.00023823776268605375</v>
      </c>
      <c r="L291" s="2" t="n">
        <v>25.06002565649796</v>
      </c>
      <c r="M291" s="2" t="n">
        <v>0.7613734489598922</v>
      </c>
      <c r="N291" s="2" t="n">
        <v>1.3385005388208067</v>
      </c>
      <c r="O291" s="2" t="n">
        <v>5.198875</v>
      </c>
      <c r="P291" s="2" t="n">
        <v>3.9582853894613597</v>
      </c>
      <c r="Q291" s="2" t="n">
        <v>28.056939</v>
      </c>
      <c r="R291" s="2" t="n">
        <v>16.264313747949544</v>
      </c>
      <c r="S291" s="2" t="n">
        <v>85.66595533442808</v>
      </c>
      <c r="T291" s="2" t="n">
        <v>112.5150285335743</v>
      </c>
      <c r="U291" s="2" t="n">
        <v>0.000515313389626092</v>
      </c>
      <c r="V291" s="2" t="n">
        <v>9.956343966566898</v>
      </c>
      <c r="W291" s="2" t="n">
        <v>2.8549373453893936e-05</v>
      </c>
      <c r="X291" s="2" t="n">
        <v>413.89162596134724</v>
      </c>
      <c r="Y291" s="2" t="n">
        <v>270.82410933092893</v>
      </c>
      <c r="Z291" s="2" t="n">
        <v>23.11574363222488</v>
      </c>
      <c r="AA291" s="2" t="n">
        <v>333.6235365532521</v>
      </c>
      <c r="AB291" s="2" t="n">
        <v>14.425948559077256</v>
      </c>
      <c r="AC291" s="2" t="n">
        <v>172.3901743804275</v>
      </c>
      <c r="AD291" s="2" t="n">
        <v>0.511887360220763</v>
      </c>
      <c r="AE291" s="2" t="n">
        <v>327.88161936288105</v>
      </c>
      <c r="AF291" s="2" t="n">
        <v>334.3417371301986</v>
      </c>
      <c r="AG291" s="2" t="n">
        <v>320.97738517719296</v>
      </c>
      <c r="AH291" s="2" t="n">
        <v>13.364351953005666</v>
      </c>
      <c r="AI291" s="2" t="n">
        <v>4.057541069372087</v>
      </c>
      <c r="AJ291" s="2" t="n">
        <v>333.5074088193279</v>
      </c>
      <c r="AK291" s="2" t="n">
        <v>334.0254429147765</v>
      </c>
      <c r="AL291" s="2" t="n">
        <v>334.2905842589207</v>
      </c>
      <c r="AM291" s="2" t="n">
        <v>11568231569.216053</v>
      </c>
      <c r="AN291" s="2" t="n">
        <v>11557616648.348175</v>
      </c>
      <c r="AO291" s="2" t="n">
        <v>327.9568779452247</v>
      </c>
      <c r="AP291" s="2" t="n">
        <v>218.53477850759137</v>
      </c>
      <c r="AQ291" s="2" t="n">
        <v>5.507215908434164</v>
      </c>
      <c r="AR291" s="2" t="n">
        <v>35.005747996865</v>
      </c>
      <c r="AS291" s="2" t="n">
        <v>5.631685320069691</v>
      </c>
      <c r="AT291" s="2" t="n">
        <v>2.2324837480100905</v>
      </c>
      <c r="AU291" s="2" t="n">
        <v>288.6757353103648</v>
      </c>
      <c r="AV291" s="2" t="n">
        <v>8.85816575646459e-11</v>
      </c>
      <c r="AW291" s="2" t="n">
        <v>-2.073270362415415e-05</v>
      </c>
      <c r="AX291" s="2" t="n">
        <v>133</v>
      </c>
      <c r="AY291" s="2" t="n">
        <v>8.772897786002432e-07</v>
      </c>
      <c r="AZ291" s="2" t="s">
        <v>131</v>
      </c>
      <c r="BA291" s="2" t="n">
        <v>4.48</v>
      </c>
      <c r="BB291" s="2" t="s">
        <v>132</v>
      </c>
      <c r="BC291" s="2" t="n">
        <v>4</v>
      </c>
      <c r="BD291" s="2" t="s">
        <v>133</v>
      </c>
      <c r="BE291" s="2" t="n">
        <v>3000</v>
      </c>
      <c r="BF291" s="2" t="s">
        <v>134</v>
      </c>
      <c r="BG291" s="2" t="n">
        <v>120</v>
      </c>
    </row>
    <row r="292" customFormat="false" ht="15" hidden="false" customHeight="false" outlineLevel="0" collapsed="false">
      <c r="A292" s="2" t="s">
        <v>425</v>
      </c>
      <c r="B292" s="2" t="s">
        <v>128</v>
      </c>
      <c r="C292" s="2" t="s">
        <v>129</v>
      </c>
      <c r="D292" s="2" t="s">
        <v>285</v>
      </c>
      <c r="E292" s="2" t="n">
        <v>0</v>
      </c>
      <c r="F292" s="2" t="n">
        <v>524.7151639764585</v>
      </c>
      <c r="G292" s="2" t="n">
        <v>329.878256992289</v>
      </c>
      <c r="H292" s="2" t="n">
        <v>306.1524214482363</v>
      </c>
      <c r="I292" s="2" t="n">
        <v>3.5916280451402005</v>
      </c>
      <c r="J292" s="2" t="n">
        <v>0.0018009568744558552</v>
      </c>
      <c r="K292" s="2" t="n">
        <v>0.00015007973953798793</v>
      </c>
      <c r="L292" s="2" t="n">
        <v>21.370048370085676</v>
      </c>
      <c r="M292" s="2" t="n">
        <v>0.6406080190495319</v>
      </c>
      <c r="N292" s="2" t="n">
        <v>0.7629884733064655</v>
      </c>
      <c r="O292" s="2" t="n">
        <v>5.198875</v>
      </c>
      <c r="P292" s="2" t="n">
        <v>3.3304410150361354</v>
      </c>
      <c r="Q292" s="2" t="n">
        <v>28.056939</v>
      </c>
      <c r="R292" s="2" t="n">
        <v>11.513968303021176</v>
      </c>
      <c r="S292" s="2" t="n">
        <v>65.59008353046606</v>
      </c>
      <c r="T292" s="2" t="n">
        <v>102.38723459594195</v>
      </c>
      <c r="U292" s="2" t="n">
        <v>0.0004239874199632155</v>
      </c>
      <c r="V292" s="2" t="n">
        <v>9.048718470697892</v>
      </c>
      <c r="W292" s="2" t="n">
        <v>1.6345387898514585e-05</v>
      </c>
      <c r="X292" s="2" t="n">
        <v>340.4913429104717</v>
      </c>
      <c r="Y292" s="2" t="n">
        <v>295.69611994175403</v>
      </c>
      <c r="Z292" s="2" t="n">
        <v>19.34818657153276</v>
      </c>
      <c r="AA292" s="2" t="n">
        <v>348.32261059493413</v>
      </c>
      <c r="AB292" s="2" t="n">
        <v>18.44435360264515</v>
      </c>
      <c r="AC292" s="2" t="n">
        <v>138.84908903711775</v>
      </c>
      <c r="AD292" s="2" t="n">
        <v>0.5011704970504609</v>
      </c>
      <c r="AE292" s="2" t="n">
        <v>340.67379670795094</v>
      </c>
      <c r="AF292" s="2" t="n">
        <v>348.7484281491514</v>
      </c>
      <c r="AG292" s="2" t="n">
        <v>331.7602045086339</v>
      </c>
      <c r="AH292" s="2" t="n">
        <v>16.988223640517504</v>
      </c>
      <c r="AI292" s="2" t="n">
        <v>5.1733468400513996</v>
      </c>
      <c r="AJ292" s="2" t="n">
        <v>347.77928848069234</v>
      </c>
      <c r="AK292" s="2" t="n">
        <v>348.4060112825787</v>
      </c>
      <c r="AL292" s="2" t="n">
        <v>348.7047412284964</v>
      </c>
      <c r="AM292" s="2" t="n">
        <v>13488228915.288065</v>
      </c>
      <c r="AN292" s="2" t="n">
        <v>13469606935.263937</v>
      </c>
      <c r="AO292" s="2" t="n">
        <v>340.79148266373664</v>
      </c>
      <c r="AP292" s="2" t="n">
        <v>179.77942905672907</v>
      </c>
      <c r="AQ292" s="2" t="n">
        <v>5.540356480602343</v>
      </c>
      <c r="AR292" s="2" t="n">
        <v>30.42379261212488</v>
      </c>
      <c r="AS292" s="2" t="n">
        <v>4.9662407898762995</v>
      </c>
      <c r="AT292" s="2" t="n">
        <v>2.245553161983638</v>
      </c>
      <c r="AU292" s="2" t="n">
        <v>306.59963021119194</v>
      </c>
      <c r="AV292" s="2" t="n">
        <v>9.723805760586402e-11</v>
      </c>
      <c r="AW292" s="2" t="n">
        <v>-2.8557214096274222e-05</v>
      </c>
      <c r="AX292" s="2" t="n">
        <v>201</v>
      </c>
      <c r="AY292" s="2" t="n">
        <v>9.350726486445637e-07</v>
      </c>
      <c r="AZ292" s="2" t="s">
        <v>131</v>
      </c>
      <c r="BA292" s="2" t="n">
        <v>4.48</v>
      </c>
      <c r="BB292" s="2" t="s">
        <v>132</v>
      </c>
      <c r="BC292" s="2" t="n">
        <v>4</v>
      </c>
      <c r="BD292" s="2" t="s">
        <v>133</v>
      </c>
      <c r="BE292" s="2" t="n">
        <v>3000</v>
      </c>
      <c r="BF292" s="2" t="s">
        <v>134</v>
      </c>
      <c r="BG292" s="2" t="n">
        <v>120</v>
      </c>
    </row>
    <row r="293" customFormat="false" ht="15" hidden="false" customHeight="false" outlineLevel="0" collapsed="false">
      <c r="A293" s="2" t="s">
        <v>426</v>
      </c>
      <c r="B293" s="2" t="s">
        <v>128</v>
      </c>
      <c r="C293" s="2" t="s">
        <v>129</v>
      </c>
      <c r="D293" s="2" t="s">
        <v>285</v>
      </c>
      <c r="E293" s="2" t="n">
        <v>0</v>
      </c>
      <c r="F293" s="2" t="n">
        <v>662.1996698599111</v>
      </c>
      <c r="G293" s="2" t="n">
        <v>327.56429756077665</v>
      </c>
      <c r="H293" s="2" t="n">
        <v>298.0842354353769</v>
      </c>
      <c r="I293" s="2" t="n">
        <v>0.050517794934661645</v>
      </c>
      <c r="J293" s="2" t="n">
        <v>0.002108694115273228</v>
      </c>
      <c r="K293" s="2" t="n">
        <v>0.00017572450960610234</v>
      </c>
      <c r="L293" s="2" t="n">
        <v>31.80652799035101</v>
      </c>
      <c r="M293" s="2" t="n">
        <v>0.5992553918722227</v>
      </c>
      <c r="N293" s="2" t="n">
        <v>0.614995765863469</v>
      </c>
      <c r="O293" s="2" t="n">
        <v>5.198875</v>
      </c>
      <c r="P293" s="2" t="n">
        <v>3.1154538754197016</v>
      </c>
      <c r="Q293" s="2" t="n">
        <v>28.056939</v>
      </c>
      <c r="R293" s="2" t="n">
        <v>10.075443886140778</v>
      </c>
      <c r="S293" s="2" t="n">
        <v>75.24567200092923</v>
      </c>
      <c r="T293" s="2" t="n">
        <v>125.56528155023034</v>
      </c>
      <c r="U293" s="2" t="n">
        <v>0.000432732887339234</v>
      </c>
      <c r="V293" s="2" t="n">
        <v>13.942842813719105</v>
      </c>
      <c r="W293" s="2" t="n">
        <v>2.9489659570179633e-05</v>
      </c>
      <c r="X293" s="2" t="n">
        <v>429.70600116978534</v>
      </c>
      <c r="Y293" s="2" t="n">
        <v>284.0845337763931</v>
      </c>
      <c r="Z293" s="2" t="n">
        <v>5.891967620751714</v>
      </c>
      <c r="AA293" s="2" t="n">
        <v>347.81919352164465</v>
      </c>
      <c r="AB293" s="2" t="n">
        <v>20.254895960867998</v>
      </c>
      <c r="AC293" s="2" t="n">
        <v>178.53356805788297</v>
      </c>
      <c r="AD293" s="2" t="n">
        <v>0.5106190369392912</v>
      </c>
      <c r="AE293" s="2" t="n">
        <v>339.4982442361555</v>
      </c>
      <c r="AF293" s="2" t="n">
        <v>348.4484420811649</v>
      </c>
      <c r="AG293" s="2" t="n">
        <v>329.735570691225</v>
      </c>
      <c r="AH293" s="2" t="n">
        <v>18.71287138993989</v>
      </c>
      <c r="AI293" s="2" t="n">
        <v>5.684541744339778</v>
      </c>
      <c r="AJ293" s="2" t="n">
        <v>347.3456615721858</v>
      </c>
      <c r="AK293" s="2" t="n">
        <v>348.057365300789</v>
      </c>
      <c r="AL293" s="2" t="n">
        <v>348.39560263691794</v>
      </c>
      <c r="AM293" s="2" t="n">
        <v>13306981746.695072</v>
      </c>
      <c r="AN293" s="2" t="n">
        <v>13284650414.033594</v>
      </c>
      <c r="AO293" s="2" t="n">
        <v>339.6408274723451</v>
      </c>
      <c r="AP293" s="2" t="n">
        <v>226.88476861764667</v>
      </c>
      <c r="AQ293" s="2" t="n">
        <v>6.317513473844346</v>
      </c>
      <c r="AR293" s="2" t="n">
        <v>36.0759272475482</v>
      </c>
      <c r="AS293" s="2" t="n">
        <v>5.95781420153138</v>
      </c>
      <c r="AT293" s="2" t="n">
        <v>2.211190032940723</v>
      </c>
      <c r="AU293" s="2" t="n">
        <v>299.09377635045115</v>
      </c>
      <c r="AV293" s="2" t="n">
        <v>1.0205440048594025e-10</v>
      </c>
      <c r="AW293" s="2" t="n">
        <v>-2.334639230232129e-05</v>
      </c>
      <c r="AX293" s="2" t="n">
        <v>173</v>
      </c>
      <c r="AY293" s="2" t="n">
        <v>9.901601174533425e-07</v>
      </c>
      <c r="AZ293" s="2" t="s">
        <v>131</v>
      </c>
      <c r="BA293" s="2" t="n">
        <v>4.48</v>
      </c>
      <c r="BB293" s="2" t="s">
        <v>132</v>
      </c>
      <c r="BC293" s="2" t="n">
        <v>4</v>
      </c>
      <c r="BD293" s="2" t="s">
        <v>133</v>
      </c>
      <c r="BE293" s="2" t="n">
        <v>3000</v>
      </c>
      <c r="BF293" s="2" t="s">
        <v>134</v>
      </c>
      <c r="BG293" s="2" t="n">
        <v>120</v>
      </c>
    </row>
    <row r="294" customFormat="false" ht="15" hidden="false" customHeight="false" outlineLevel="0" collapsed="false">
      <c r="A294" s="2" t="s">
        <v>427</v>
      </c>
      <c r="B294" s="2" t="s">
        <v>128</v>
      </c>
      <c r="C294" s="2" t="s">
        <v>129</v>
      </c>
      <c r="D294" s="2" t="s">
        <v>285</v>
      </c>
      <c r="E294" s="2" t="n">
        <v>0</v>
      </c>
      <c r="F294" s="2" t="n">
        <v>699.8022118984525</v>
      </c>
      <c r="G294" s="2" t="n">
        <v>316.3438233525139</v>
      </c>
      <c r="H294" s="2" t="n">
        <v>307.3116900384012</v>
      </c>
      <c r="I294" s="2" t="n">
        <v>1.3880070988363564</v>
      </c>
      <c r="J294" s="2" t="n">
        <v>0.0014504387691310536</v>
      </c>
      <c r="K294" s="2" t="n">
        <v>0.0001208698974275878</v>
      </c>
      <c r="L294" s="2" t="n">
        <v>28.749698114316992</v>
      </c>
      <c r="M294" s="2" t="n">
        <v>0.3509522963261502</v>
      </c>
      <c r="N294" s="2" t="n">
        <v>0.6381146734982046</v>
      </c>
      <c r="O294" s="2" t="n">
        <v>5.198875</v>
      </c>
      <c r="P294" s="2" t="n">
        <v>1.8245571195626142</v>
      </c>
      <c r="Q294" s="2" t="n">
        <v>28.056939</v>
      </c>
      <c r="R294" s="2" t="n">
        <v>3.4557034354012766</v>
      </c>
      <c r="S294" s="2" t="n">
        <v>48.45350289164791</v>
      </c>
      <c r="T294" s="2" t="n">
        <v>138.06293162595136</v>
      </c>
      <c r="U294" s="2" t="n">
        <v>0.00046223418582520647</v>
      </c>
      <c r="V294" s="2" t="n">
        <v>42.702599544136184</v>
      </c>
      <c r="W294" s="2" t="n">
        <v>6.212387755415565e-05</v>
      </c>
      <c r="X294" s="2" t="n">
        <v>454.10655391638903</v>
      </c>
      <c r="Y294" s="2" t="n">
        <v>297.3772213959763</v>
      </c>
      <c r="Z294" s="2" t="n">
        <v>10.974426975578154</v>
      </c>
      <c r="AA294" s="2" t="n">
        <v>350.2140865627193</v>
      </c>
      <c r="AB294" s="2" t="n">
        <v>33.870263210205394</v>
      </c>
      <c r="AC294" s="2" t="n">
        <v>205.34978524155642</v>
      </c>
      <c r="AD294" s="2" t="n">
        <v>0.5557570999252769</v>
      </c>
      <c r="AE294" s="2" t="n">
        <v>336.1640912418353</v>
      </c>
      <c r="AF294" s="2" t="n">
        <v>350.75356660673</v>
      </c>
      <c r="AG294" s="2" t="n">
        <v>319.71245324014245</v>
      </c>
      <c r="AH294" s="2" t="n">
        <v>31.041113366587524</v>
      </c>
      <c r="AI294" s="2" t="n">
        <v>9.454618005414517</v>
      </c>
      <c r="AJ294" s="2" t="n">
        <v>349.0923494673324</v>
      </c>
      <c r="AK294" s="2" t="n">
        <v>350.1674590927183</v>
      </c>
      <c r="AL294" s="2" t="n">
        <v>350.68358261939613</v>
      </c>
      <c r="AM294" s="2" t="n">
        <v>12830937489.028599</v>
      </c>
      <c r="AN294" s="2" t="n">
        <v>12770422989.984112</v>
      </c>
      <c r="AO294" s="2" t="n">
        <v>336.5616260807607</v>
      </c>
      <c r="AP294" s="2" t="n">
        <v>239.76826046785342</v>
      </c>
      <c r="AQ294" s="2" t="n">
        <v>4.638296809675419</v>
      </c>
      <c r="AR294" s="2" t="n">
        <v>25.629528133734112</v>
      </c>
      <c r="AS294" s="2" t="n">
        <v>4.150702880878063</v>
      </c>
      <c r="AT294" s="2" t="n">
        <v>2.2593095684061253</v>
      </c>
      <c r="AU294" s="2" t="n">
        <v>307.45942512751975</v>
      </c>
      <c r="AV294" s="2" t="n">
        <v>9.118508614847088e-11</v>
      </c>
      <c r="AW294" s="2" t="n">
        <v>-2.2499480227183685e-05</v>
      </c>
      <c r="AX294" s="2" t="n">
        <v>239</v>
      </c>
      <c r="AY294" s="2" t="n">
        <v>9.291879337069986e-07</v>
      </c>
      <c r="AZ294" s="2" t="s">
        <v>131</v>
      </c>
      <c r="BA294" s="2" t="n">
        <v>4.48</v>
      </c>
      <c r="BB294" s="2" t="s">
        <v>132</v>
      </c>
      <c r="BC294" s="2" t="n">
        <v>4</v>
      </c>
      <c r="BD294" s="2" t="s">
        <v>133</v>
      </c>
      <c r="BE294" s="2" t="n">
        <v>3000</v>
      </c>
      <c r="BF294" s="2" t="s">
        <v>134</v>
      </c>
      <c r="BG294" s="2" t="n">
        <v>120</v>
      </c>
    </row>
    <row r="295" customFormat="false" ht="15" hidden="false" customHeight="false" outlineLevel="0" collapsed="false">
      <c r="A295" s="2" t="s">
        <v>428</v>
      </c>
      <c r="B295" s="2" t="s">
        <v>128</v>
      </c>
      <c r="C295" s="2" t="s">
        <v>129</v>
      </c>
      <c r="D295" s="2" t="s">
        <v>285</v>
      </c>
      <c r="E295" s="2" t="n">
        <v>0</v>
      </c>
      <c r="F295" s="2" t="n">
        <v>431.7950880123859</v>
      </c>
      <c r="G295" s="2" t="n">
        <v>324.27121871295503</v>
      </c>
      <c r="H295" s="2" t="n">
        <v>295.28054449588586</v>
      </c>
      <c r="I295" s="2" t="n">
        <v>2.016884917746256</v>
      </c>
      <c r="J295" s="2" t="n">
        <v>0.002615881036030273</v>
      </c>
      <c r="K295" s="2" t="n">
        <v>0.00021799008633585607</v>
      </c>
      <c r="L295" s="2" t="n">
        <v>28.07000504768562</v>
      </c>
      <c r="M295" s="2" t="n">
        <v>0.981862103835164</v>
      </c>
      <c r="N295" s="2" t="n">
        <v>0.7882533659414606</v>
      </c>
      <c r="O295" s="2" t="n">
        <v>5.198875</v>
      </c>
      <c r="P295" s="2" t="n">
        <v>5.104578345076039</v>
      </c>
      <c r="Q295" s="2" t="n">
        <v>28.056939</v>
      </c>
      <c r="R295" s="2" t="n">
        <v>27.048381571172577</v>
      </c>
      <c r="S295" s="2" t="n">
        <v>81.93187153629125</v>
      </c>
      <c r="T295" s="2" t="n">
        <v>83.44539545447824</v>
      </c>
      <c r="U295" s="2" t="n">
        <v>0.0004930068523222889</v>
      </c>
      <c r="V295" s="2" t="n">
        <v>5.526101628012009</v>
      </c>
      <c r="W295" s="2" t="n">
        <v>1.4499121817344667e-05</v>
      </c>
      <c r="X295" s="2" t="n">
        <v>280.19485517685325</v>
      </c>
      <c r="Y295" s="2" t="n">
        <v>280.08595224844737</v>
      </c>
      <c r="Z295" s="2" t="n">
        <v>13.364162687435773</v>
      </c>
      <c r="AA295" s="2" t="n">
        <v>334.0180626566269</v>
      </c>
      <c r="AB295" s="2" t="n">
        <v>9.746843943671877</v>
      </c>
      <c r="AC295" s="2" t="n">
        <v>106.57572209560273</v>
      </c>
      <c r="AD295" s="2" t="n">
        <v>0.46746237768366916</v>
      </c>
      <c r="AE295" s="2" t="n">
        <v>330.0908234759554</v>
      </c>
      <c r="AF295" s="2" t="n">
        <v>334.4423344992364</v>
      </c>
      <c r="AG295" s="2" t="n">
        <v>325.41417509542805</v>
      </c>
      <c r="AH295" s="2" t="n">
        <v>9.028159403808331</v>
      </c>
      <c r="AI295" s="2" t="n">
        <v>2.7418735074445295</v>
      </c>
      <c r="AJ295" s="2" t="n">
        <v>333.8891159236077</v>
      </c>
      <c r="AK295" s="2" t="n">
        <v>334.2375507816644</v>
      </c>
      <c r="AL295" s="2" t="n">
        <v>334.4128025918482</v>
      </c>
      <c r="AM295" s="2" t="n">
        <v>11877184145.830257</v>
      </c>
      <c r="AN295" s="2" t="n">
        <v>11872271083.844374</v>
      </c>
      <c r="AO295" s="2" t="n">
        <v>330.1249682712878</v>
      </c>
      <c r="AP295" s="2" t="n">
        <v>147.94288353337853</v>
      </c>
      <c r="AQ295" s="2" t="n">
        <v>5.114339983730842</v>
      </c>
      <c r="AR295" s="2" t="n">
        <v>31.245063570014736</v>
      </c>
      <c r="AS295" s="2" t="n">
        <v>5.007802443477274</v>
      </c>
      <c r="AT295" s="2" t="n">
        <v>2.2506828143293904</v>
      </c>
      <c r="AU295" s="2" t="n">
        <v>295.0968464968261</v>
      </c>
      <c r="AV295" s="2" t="n">
        <v>9.502514330961275e-11</v>
      </c>
      <c r="AW295" s="2" t="n">
        <v>-3.1486776928282075e-05</v>
      </c>
      <c r="AX295" s="2" t="n">
        <v>144</v>
      </c>
      <c r="AY295" s="2" t="n">
        <v>8.987429964690818e-07</v>
      </c>
      <c r="AZ295" s="2" t="s">
        <v>131</v>
      </c>
      <c r="BA295" s="2" t="n">
        <v>4.48</v>
      </c>
      <c r="BB295" s="2" t="s">
        <v>132</v>
      </c>
      <c r="BC295" s="2" t="n">
        <v>4</v>
      </c>
      <c r="BD295" s="2" t="s">
        <v>133</v>
      </c>
      <c r="BE295" s="2" t="n">
        <v>3000</v>
      </c>
      <c r="BF295" s="2" t="s">
        <v>134</v>
      </c>
      <c r="BG295" s="2" t="n">
        <v>120</v>
      </c>
    </row>
    <row r="296" customFormat="false" ht="15" hidden="false" customHeight="false" outlineLevel="0" collapsed="false">
      <c r="A296" s="2" t="s">
        <v>429</v>
      </c>
      <c r="B296" s="2" t="s">
        <v>128</v>
      </c>
      <c r="C296" s="2" t="s">
        <v>129</v>
      </c>
      <c r="D296" s="2" t="s">
        <v>285</v>
      </c>
      <c r="E296" s="2" t="n">
        <v>0</v>
      </c>
      <c r="F296" s="2" t="n">
        <v>515.5170261332279</v>
      </c>
      <c r="G296" s="2" t="n">
        <v>328.20455242367234</v>
      </c>
      <c r="H296" s="2" t="n">
        <v>302.61322434476426</v>
      </c>
      <c r="I296" s="2" t="n">
        <v>3.2783695893216693</v>
      </c>
      <c r="J296" s="2" t="n">
        <v>0.00386839968709734</v>
      </c>
      <c r="K296" s="2" t="n">
        <v>0.000322366640591445</v>
      </c>
      <c r="L296" s="2" t="n">
        <v>22.368856436620742</v>
      </c>
      <c r="M296" s="2" t="n">
        <v>0.6822583075528494</v>
      </c>
      <c r="N296" s="2" t="n">
        <v>1.1485579392629148</v>
      </c>
      <c r="O296" s="2" t="n">
        <v>5.198875</v>
      </c>
      <c r="P296" s="2" t="n">
        <v>3.54697565867882</v>
      </c>
      <c r="Q296" s="2" t="n">
        <v>28.056939</v>
      </c>
      <c r="R296" s="2" t="n">
        <v>13.059842910935124</v>
      </c>
      <c r="S296" s="2" t="n">
        <v>127.75212666660671</v>
      </c>
      <c r="T296" s="2" t="n">
        <v>187.24891328158827</v>
      </c>
      <c r="U296" s="2" t="n">
        <v>0.00046757474162364683</v>
      </c>
      <c r="V296" s="2" t="n">
        <v>16.00090672814764</v>
      </c>
      <c r="W296" s="2" t="n">
        <v>6.208415504557678e-05</v>
      </c>
      <c r="X296" s="2" t="n">
        <v>334.52260687703443</v>
      </c>
      <c r="Y296" s="2" t="n">
        <v>290.5834878089119</v>
      </c>
      <c r="Z296" s="2" t="n">
        <v>18.157804439422343</v>
      </c>
      <c r="AA296" s="2" t="n">
        <v>336.8442968464521</v>
      </c>
      <c r="AB296" s="2" t="n">
        <v>8.639744422779756</v>
      </c>
      <c r="AC296" s="2" t="n">
        <v>139.7038957186316</v>
      </c>
      <c r="AD296" s="2" t="n">
        <v>0.5132530996559903</v>
      </c>
      <c r="AE296" s="2" t="n">
        <v>333.58336578135885</v>
      </c>
      <c r="AF296" s="2" t="n">
        <v>337.5007272593665</v>
      </c>
      <c r="AG296" s="2" t="n">
        <v>329.45494691151174</v>
      </c>
      <c r="AH296" s="2" t="n">
        <v>8.045780347854759</v>
      </c>
      <c r="AI296" s="2" t="n">
        <v>2.436622764760136</v>
      </c>
      <c r="AJ296" s="2" t="n">
        <v>336.95736287134855</v>
      </c>
      <c r="AK296" s="2" t="n">
        <v>337.28842965765466</v>
      </c>
      <c r="AL296" s="2" t="n">
        <v>337.4713565439281</v>
      </c>
      <c r="AM296" s="2" t="n">
        <v>12386725494.522884</v>
      </c>
      <c r="AN296" s="2" t="n">
        <v>12382762554.82634</v>
      </c>
      <c r="AO296" s="2" t="n">
        <v>333.61005231700443</v>
      </c>
      <c r="AP296" s="2" t="n">
        <v>176.62793643107418</v>
      </c>
      <c r="AQ296" s="2" t="n">
        <v>4.771848067017691</v>
      </c>
      <c r="AR296" s="2" t="n">
        <v>27.696870249301824</v>
      </c>
      <c r="AS296" s="2" t="n">
        <v>4.4553607297951325</v>
      </c>
      <c r="AT296" s="2" t="n">
        <v>2.2580424901154914</v>
      </c>
      <c r="AU296" s="2" t="n">
        <v>302.56330919782397</v>
      </c>
      <c r="AV296" s="2" t="n">
        <v>9.587125759935589e-11</v>
      </c>
      <c r="AW296" s="2" t="n">
        <v>-2.4304307887551262e-05</v>
      </c>
      <c r="AX296" s="2" t="n">
        <v>107</v>
      </c>
      <c r="AY296" s="2" t="n">
        <v>8.139724059219589e-07</v>
      </c>
      <c r="AZ296" s="2" t="s">
        <v>131</v>
      </c>
      <c r="BA296" s="2" t="n">
        <v>4.48</v>
      </c>
      <c r="BB296" s="2" t="s">
        <v>132</v>
      </c>
      <c r="BC296" s="2" t="n">
        <v>4</v>
      </c>
      <c r="BD296" s="2" t="s">
        <v>133</v>
      </c>
      <c r="BE296" s="2" t="n">
        <v>3000</v>
      </c>
      <c r="BF296" s="2" t="s">
        <v>134</v>
      </c>
      <c r="BG296" s="2" t="n">
        <v>120</v>
      </c>
    </row>
    <row r="297" customFormat="false" ht="15" hidden="false" customHeight="false" outlineLevel="0" collapsed="false">
      <c r="A297" s="2" t="s">
        <v>430</v>
      </c>
      <c r="B297" s="2" t="s">
        <v>128</v>
      </c>
      <c r="C297" s="2" t="s">
        <v>129</v>
      </c>
      <c r="D297" s="2" t="s">
        <v>285</v>
      </c>
      <c r="E297" s="2" t="n">
        <v>0</v>
      </c>
      <c r="F297" s="2" t="n">
        <v>877.2300704560305</v>
      </c>
      <c r="G297" s="2" t="n">
        <v>299.17500443148873</v>
      </c>
      <c r="H297" s="2" t="n">
        <v>301.09434278926784</v>
      </c>
      <c r="I297" s="2" t="n">
        <v>0.007206435770659502</v>
      </c>
      <c r="J297" s="2" t="n">
        <v>0.0036495972822383404</v>
      </c>
      <c r="K297" s="2" t="n">
        <v>0.000304133106853195</v>
      </c>
      <c r="L297" s="2" t="n">
        <v>31.152809300082232</v>
      </c>
      <c r="M297" s="2" t="n">
        <v>0.42769990098601407</v>
      </c>
      <c r="N297" s="2" t="n">
        <v>0.9136614138011007</v>
      </c>
      <c r="O297" s="2" t="n">
        <v>5.198875</v>
      </c>
      <c r="P297" s="2" t="n">
        <v>2.223558322738664</v>
      </c>
      <c r="Q297" s="2" t="n">
        <v>28.056939</v>
      </c>
      <c r="R297" s="2" t="n">
        <v>5.132377440639268</v>
      </c>
      <c r="S297" s="2" t="n">
        <v>79.03891304412406</v>
      </c>
      <c r="T297" s="2" t="n">
        <v>184.79993299486088</v>
      </c>
      <c r="U297" s="2" t="n">
        <v>0.000713003771234821</v>
      </c>
      <c r="V297" s="2" t="n">
        <v>77.71370560467419</v>
      </c>
      <c r="W297" s="2" t="n">
        <v>0.0002844771602482341</v>
      </c>
      <c r="X297" s="2" t="n">
        <v>569.2407333294113</v>
      </c>
      <c r="Y297" s="2" t="n">
        <v>288.3984827719268</v>
      </c>
      <c r="Z297" s="2" t="n">
        <v>5.727384455928506</v>
      </c>
      <c r="AA297" s="2" t="n">
        <v>317.8892596467803</v>
      </c>
      <c r="AB297" s="2" t="n">
        <v>18.714255215291587</v>
      </c>
      <c r="AC297" s="2" t="n">
        <v>285.4918889864832</v>
      </c>
      <c r="AD297" s="2" t="n">
        <v>0.616376881518193</v>
      </c>
      <c r="AE297" s="2" t="n">
        <v>310.8545373248371</v>
      </c>
      <c r="AF297" s="2" t="n">
        <v>319.2785078761295</v>
      </c>
      <c r="AG297" s="2" t="n">
        <v>301.9418532401862</v>
      </c>
      <c r="AH297" s="2" t="n">
        <v>17.336654635943262</v>
      </c>
      <c r="AI297" s="2" t="n">
        <v>5.247057940829322</v>
      </c>
      <c r="AJ297" s="2" t="n">
        <v>318.13249152144914</v>
      </c>
      <c r="AK297" s="2" t="n">
        <v>318.84175694054784</v>
      </c>
      <c r="AL297" s="2" t="n">
        <v>319.21484436285596</v>
      </c>
      <c r="AM297" s="2" t="n">
        <v>9353417683.808033</v>
      </c>
      <c r="AN297" s="2" t="n">
        <v>9337461913.03251</v>
      </c>
      <c r="AO297" s="2" t="n">
        <v>310.9872486721571</v>
      </c>
      <c r="AP297" s="2" t="n">
        <v>300.5591071979292</v>
      </c>
      <c r="AQ297" s="2" t="n">
        <v>1.8013940481992639</v>
      </c>
      <c r="AR297" s="2" t="n">
        <v>11.861762145177613</v>
      </c>
      <c r="AS297" s="2" t="n">
        <v>1.4041003828789118</v>
      </c>
      <c r="AT297" s="2" t="n">
        <v>2.9237530075597253</v>
      </c>
      <c r="AU297" s="2" t="n">
        <v>297.56955134584854</v>
      </c>
      <c r="AV297" s="2" t="n">
        <v>8.27239432510396e-11</v>
      </c>
      <c r="AW297" s="2" t="n">
        <v>-1.4094082868088735e-05</v>
      </c>
      <c r="AX297" s="2" t="n">
        <v>107</v>
      </c>
      <c r="AY297" s="2" t="n">
        <v>8.23499078705936e-07</v>
      </c>
      <c r="AZ297" s="2" t="s">
        <v>131</v>
      </c>
      <c r="BA297" s="2" t="n">
        <v>4.48</v>
      </c>
      <c r="BB297" s="2" t="s">
        <v>132</v>
      </c>
      <c r="BC297" s="2" t="n">
        <v>4</v>
      </c>
      <c r="BD297" s="2" t="s">
        <v>133</v>
      </c>
      <c r="BE297" s="2" t="n">
        <v>3000</v>
      </c>
      <c r="BF297" s="2" t="s">
        <v>134</v>
      </c>
      <c r="BG297" s="2" t="n">
        <v>120</v>
      </c>
    </row>
    <row r="298" customFormat="false" ht="15" hidden="false" customHeight="false" outlineLevel="0" collapsed="false">
      <c r="A298" s="2" t="s">
        <v>431</v>
      </c>
      <c r="B298" s="2" t="s">
        <v>128</v>
      </c>
      <c r="C298" s="2" t="s">
        <v>129</v>
      </c>
      <c r="D298" s="2" t="s">
        <v>285</v>
      </c>
      <c r="E298" s="2" t="n">
        <v>0</v>
      </c>
      <c r="F298" s="2" t="n">
        <v>480.4133949351112</v>
      </c>
      <c r="G298" s="2" t="n">
        <v>321.8543795061433</v>
      </c>
      <c r="H298" s="2" t="n">
        <v>304.2278049965136</v>
      </c>
      <c r="I298" s="2" t="n">
        <v>0.9426185645485928</v>
      </c>
      <c r="J298" s="2" t="n">
        <v>0.004227786146869637</v>
      </c>
      <c r="K298" s="2" t="n">
        <v>0.00035231551223913643</v>
      </c>
      <c r="L298" s="2" t="n">
        <v>26.936690089729414</v>
      </c>
      <c r="M298" s="2" t="n">
        <v>0.7085932103752396</v>
      </c>
      <c r="N298" s="2" t="n">
        <v>1.8114825942703567</v>
      </c>
      <c r="O298" s="2" t="n">
        <v>5.198875</v>
      </c>
      <c r="P298" s="2" t="n">
        <v>3.683887526589574</v>
      </c>
      <c r="Q298" s="2" t="n">
        <v>28.056939</v>
      </c>
      <c r="R298" s="2" t="n">
        <v>14.087510777006298</v>
      </c>
      <c r="S298" s="2" t="n">
        <v>125.27117530682544</v>
      </c>
      <c r="T298" s="2" t="n">
        <v>176.78856284903912</v>
      </c>
      <c r="U298" s="2" t="n">
        <v>0.0005211343508721616</v>
      </c>
      <c r="V298" s="2" t="n">
        <v>15.626613203740211</v>
      </c>
      <c r="W298" s="2" t="n">
        <v>6.626477314469711e-05</v>
      </c>
      <c r="X298" s="2" t="n">
        <v>311.7436148671582</v>
      </c>
      <c r="Y298" s="2" t="n">
        <v>292.9121818017305</v>
      </c>
      <c r="Z298" s="2" t="n">
        <v>9.281950545284653</v>
      </c>
      <c r="AA298" s="2" t="n">
        <v>329.6017372651119</v>
      </c>
      <c r="AB298" s="2" t="n">
        <v>7.747357758968633</v>
      </c>
      <c r="AC298" s="2" t="n">
        <v>136.91243815832024</v>
      </c>
      <c r="AD298" s="2" t="n">
        <v>0.5397515200077999</v>
      </c>
      <c r="AE298" s="2" t="n">
        <v>326.7556927490905</v>
      </c>
      <c r="AF298" s="2" t="n">
        <v>330.283852760806</v>
      </c>
      <c r="AG298" s="2" t="n">
        <v>323.0536747132577</v>
      </c>
      <c r="AH298" s="2" t="n">
        <v>7.230178047548293</v>
      </c>
      <c r="AI298" s="2" t="n">
        <v>2.1863207940327087</v>
      </c>
      <c r="AJ298" s="2" t="n">
        <v>329.78358025469015</v>
      </c>
      <c r="AK298" s="2" t="n">
        <v>330.1046685262249</v>
      </c>
      <c r="AL298" s="2" t="n">
        <v>330.25682876694714</v>
      </c>
      <c r="AM298" s="2" t="n">
        <v>11402741160.009335</v>
      </c>
      <c r="AN298" s="2" t="n">
        <v>11399679737.654982</v>
      </c>
      <c r="AO298" s="2" t="n">
        <v>326.7776283753432</v>
      </c>
      <c r="AP298" s="2" t="n">
        <v>164.60062864985954</v>
      </c>
      <c r="AQ298" s="2" t="n">
        <v>3.50253717254678</v>
      </c>
      <c r="AR298" s="2" t="n">
        <v>20.944835763473378</v>
      </c>
      <c r="AS298" s="2" t="n">
        <v>3.2408591553755994</v>
      </c>
      <c r="AT298" s="2" t="n">
        <v>2.327770596816209</v>
      </c>
      <c r="AU298" s="2" t="n">
        <v>303.29780798927146</v>
      </c>
      <c r="AV298" s="2" t="n">
        <v>8.721485755813772e-11</v>
      </c>
      <c r="AW298" s="2" t="n">
        <v>-2.735084952961383e-05</v>
      </c>
      <c r="AX298" s="2" t="n">
        <v>100</v>
      </c>
      <c r="AY298" s="2" t="n">
        <v>8.481337658849952e-07</v>
      </c>
      <c r="AZ298" s="2" t="s">
        <v>131</v>
      </c>
      <c r="BA298" s="2" t="n">
        <v>4.48</v>
      </c>
      <c r="BB298" s="2" t="s">
        <v>132</v>
      </c>
      <c r="BC298" s="2" t="n">
        <v>4</v>
      </c>
      <c r="BD298" s="2" t="s">
        <v>133</v>
      </c>
      <c r="BE298" s="2" t="n">
        <v>3000</v>
      </c>
      <c r="BF298" s="2" t="s">
        <v>134</v>
      </c>
      <c r="BG298" s="2" t="n">
        <v>120</v>
      </c>
    </row>
    <row r="299" customFormat="false" ht="15" hidden="false" customHeight="false" outlineLevel="0" collapsed="false">
      <c r="A299" s="2" t="s">
        <v>432</v>
      </c>
      <c r="B299" s="2" t="s">
        <v>128</v>
      </c>
      <c r="C299" s="2" t="s">
        <v>129</v>
      </c>
      <c r="D299" s="2" t="s">
        <v>285</v>
      </c>
      <c r="E299" s="2" t="n">
        <v>0</v>
      </c>
      <c r="F299" s="2" t="n">
        <v>690.5596278132505</v>
      </c>
      <c r="G299" s="2" t="n">
        <v>293.582345160202</v>
      </c>
      <c r="H299" s="2" t="n">
        <v>290.49415782175817</v>
      </c>
      <c r="I299" s="2" t="n">
        <v>2.205166025483745</v>
      </c>
      <c r="J299" s="2" t="n">
        <v>0.0030264634343190352</v>
      </c>
      <c r="K299" s="2" t="n">
        <v>0.00025220528619325294</v>
      </c>
      <c r="L299" s="2" t="n">
        <v>20.586813766899862</v>
      </c>
      <c r="M299" s="2" t="n">
        <v>0.9666892278503977</v>
      </c>
      <c r="N299" s="2" t="n">
        <v>1.1652403522489978</v>
      </c>
      <c r="O299" s="2" t="n">
        <v>5.198875</v>
      </c>
      <c r="P299" s="2" t="n">
        <v>5.025696459440737</v>
      </c>
      <c r="Q299" s="2" t="n">
        <v>28.056939</v>
      </c>
      <c r="R299" s="2" t="n">
        <v>26.218874586608884</v>
      </c>
      <c r="S299" s="2" t="n">
        <v>57.44395113147468</v>
      </c>
      <c r="T299" s="2" t="n">
        <v>59.4233901408122</v>
      </c>
      <c r="U299" s="2" t="n">
        <v>0.000813540107715733</v>
      </c>
      <c r="V299" s="2" t="n">
        <v>10.784810411841162</v>
      </c>
      <c r="W299" s="2" t="n">
        <v>3.273804850300952e-05</v>
      </c>
      <c r="X299" s="2" t="n">
        <v>448.1089764054128</v>
      </c>
      <c r="Y299" s="2" t="n">
        <v>273.30349261834124</v>
      </c>
      <c r="Z299" s="2" t="n">
        <v>14.079630896838232</v>
      </c>
      <c r="AA299" s="2" t="n">
        <v>310.84239828489183</v>
      </c>
      <c r="AB299" s="2" t="n">
        <v>17.26005312468982</v>
      </c>
      <c r="AC299" s="2" t="n">
        <v>218.35032416324097</v>
      </c>
      <c r="AD299" s="2" t="n">
        <v>0.5988509376398613</v>
      </c>
      <c r="AE299" s="2" t="n">
        <v>304.074165542743</v>
      </c>
      <c r="AF299" s="2" t="n">
        <v>311.8027906112993</v>
      </c>
      <c r="AG299" s="2" t="n">
        <v>295.88276935549663</v>
      </c>
      <c r="AH299" s="2" t="n">
        <v>15.92002125580268</v>
      </c>
      <c r="AI299" s="2" t="n">
        <v>4.844143676385058</v>
      </c>
      <c r="AJ299" s="2" t="n">
        <v>310.7821508376223</v>
      </c>
      <c r="AK299" s="2" t="n">
        <v>311.41030451961444</v>
      </c>
      <c r="AL299" s="2" t="n">
        <v>311.7401667215732</v>
      </c>
      <c r="AM299" s="2" t="n">
        <v>8562066411.654348</v>
      </c>
      <c r="AN299" s="2" t="n">
        <v>8549054671.199256</v>
      </c>
      <c r="AO299" s="2" t="n">
        <v>304.1898004892502</v>
      </c>
      <c r="AP299" s="2" t="n">
        <v>236.601539542058</v>
      </c>
      <c r="AQ299" s="2" t="n">
        <v>1.9971312216576016</v>
      </c>
      <c r="AR299" s="2" t="n">
        <v>14.300516955551043</v>
      </c>
      <c r="AS299" s="2" t="n">
        <v>1.9536182369157329</v>
      </c>
      <c r="AT299" s="2" t="n">
        <v>2.545410614148549</v>
      </c>
      <c r="AU299" s="2" t="n">
        <v>288.05781275117903</v>
      </c>
      <c r="AV299" s="2" t="n">
        <v>1.0062251476483653e-10</v>
      </c>
      <c r="AW299" s="2" t="n">
        <v>-2.070548003639694e-05</v>
      </c>
      <c r="AX299" s="2" t="n">
        <v>122</v>
      </c>
      <c r="AY299" s="2" t="n">
        <v>9.748885645421979e-07</v>
      </c>
      <c r="AZ299" s="2" t="s">
        <v>131</v>
      </c>
      <c r="BA299" s="2" t="n">
        <v>4.48</v>
      </c>
      <c r="BB299" s="2" t="s">
        <v>132</v>
      </c>
      <c r="BC299" s="2" t="n">
        <v>4</v>
      </c>
      <c r="BD299" s="2" t="s">
        <v>133</v>
      </c>
      <c r="BE299" s="2" t="n">
        <v>3000</v>
      </c>
      <c r="BF299" s="2" t="s">
        <v>134</v>
      </c>
      <c r="BG299" s="2" t="n">
        <v>120</v>
      </c>
    </row>
    <row r="300" customFormat="false" ht="15" hidden="false" customHeight="false" outlineLevel="0" collapsed="false">
      <c r="A300" s="2" t="s">
        <v>433</v>
      </c>
      <c r="B300" s="2" t="s">
        <v>128</v>
      </c>
      <c r="C300" s="2" t="s">
        <v>129</v>
      </c>
      <c r="D300" s="2" t="s">
        <v>285</v>
      </c>
      <c r="E300" s="2" t="n">
        <v>0</v>
      </c>
      <c r="F300" s="2" t="n">
        <v>446.4428838510253</v>
      </c>
      <c r="G300" s="2" t="n">
        <v>297.6234876439783</v>
      </c>
      <c r="H300" s="2" t="n">
        <v>311.29564985328676</v>
      </c>
      <c r="I300" s="2" t="n">
        <v>0.6293890807289575</v>
      </c>
      <c r="J300" s="2" t="n">
        <v>0.0027373931489972384</v>
      </c>
      <c r="K300" s="2" t="n">
        <v>0.00022811609574976987</v>
      </c>
      <c r="L300" s="2" t="n">
        <v>22.83874422337759</v>
      </c>
      <c r="M300" s="2" t="n">
        <v>0.6982700929684641</v>
      </c>
      <c r="N300" s="2" t="n">
        <v>1.6747877925654509</v>
      </c>
      <c r="O300" s="2" t="n">
        <v>5.198875</v>
      </c>
      <c r="P300" s="2" t="n">
        <v>3.630218929581424</v>
      </c>
      <c r="Q300" s="2" t="n">
        <v>28.056939</v>
      </c>
      <c r="R300" s="2" t="n">
        <v>13.68003381810461</v>
      </c>
      <c r="S300" s="2" t="n">
        <v>54.47670340124554</v>
      </c>
      <c r="T300" s="2" t="n">
        <v>78.01666425330615</v>
      </c>
      <c r="U300" s="2" t="n">
        <v>0.0007759150910492406</v>
      </c>
      <c r="V300" s="2" t="n">
        <v>15.843761703706225</v>
      </c>
      <c r="W300" s="2" t="n">
        <v>4.350110806626904e-05</v>
      </c>
      <c r="X300" s="2" t="n">
        <v>289.69991243111724</v>
      </c>
      <c r="Y300" s="2" t="n">
        <v>303.1786783195985</v>
      </c>
      <c r="Z300" s="2" t="n">
        <v>8.09167850677004</v>
      </c>
      <c r="AA300" s="2" t="n">
        <v>311.22765131198736</v>
      </c>
      <c r="AB300" s="2" t="n">
        <v>13.60416366800905</v>
      </c>
      <c r="AC300" s="2" t="n">
        <v>155.6629676866566</v>
      </c>
      <c r="AD300" s="2" t="n">
        <v>0.6603671765046027</v>
      </c>
      <c r="AE300" s="2" t="n">
        <v>305.8159310564904</v>
      </c>
      <c r="AF300" s="2" t="n">
        <v>311.8937725978977</v>
      </c>
      <c r="AG300" s="2" t="n">
        <v>299.32633028755566</v>
      </c>
      <c r="AH300" s="2" t="n">
        <v>12.567442310342017</v>
      </c>
      <c r="AI300" s="2" t="n">
        <v>3.8229787238060853</v>
      </c>
      <c r="AJ300" s="2" t="n">
        <v>311.11616617966126</v>
      </c>
      <c r="AK300" s="2" t="n">
        <v>311.6009715973243</v>
      </c>
      <c r="AL300" s="2" t="n">
        <v>311.8473061467866</v>
      </c>
      <c r="AM300" s="2" t="n">
        <v>8754820731.523123</v>
      </c>
      <c r="AN300" s="2" t="n">
        <v>8746623296.443155</v>
      </c>
      <c r="AO300" s="2" t="n">
        <v>305.8875594316581</v>
      </c>
      <c r="AP300" s="2" t="n">
        <v>152.96155376362992</v>
      </c>
      <c r="AQ300" s="2" t="n">
        <v>-0.24698946467178703</v>
      </c>
      <c r="AR300" s="2" t="n">
        <v>-1.666077447046656</v>
      </c>
      <c r="AS300" s="2" t="n">
        <v>-0.7883116706957881</v>
      </c>
      <c r="AT300" s="2" t="n">
        <v>0.9336818982659679</v>
      </c>
      <c r="AU300" s="2" t="n">
        <v>307.68191144397633</v>
      </c>
      <c r="AV300" s="2" t="n">
        <v>1.1181725767528405e-10</v>
      </c>
      <c r="AW300" s="2" t="n">
        <v>-2.811020020449076e-05</v>
      </c>
      <c r="AX300" s="2" t="n">
        <v>133</v>
      </c>
      <c r="AY300" s="2" t="n">
        <v>8.556311854590604e-07</v>
      </c>
      <c r="AZ300" s="2" t="s">
        <v>131</v>
      </c>
      <c r="BA300" s="2" t="n">
        <v>4.48</v>
      </c>
      <c r="BB300" s="2" t="s">
        <v>132</v>
      </c>
      <c r="BC300" s="2" t="n">
        <v>4</v>
      </c>
      <c r="BD300" s="2" t="s">
        <v>133</v>
      </c>
      <c r="BE300" s="2" t="n">
        <v>3000</v>
      </c>
      <c r="BF300" s="2" t="s">
        <v>134</v>
      </c>
      <c r="BG300" s="2" t="n">
        <v>120</v>
      </c>
    </row>
    <row r="301" customFormat="false" ht="15" hidden="false" customHeight="false" outlineLevel="0" collapsed="false">
      <c r="A301" s="2" t="s">
        <v>434</v>
      </c>
      <c r="B301" s="2" t="s">
        <v>128</v>
      </c>
      <c r="C301" s="2" t="s">
        <v>129</v>
      </c>
      <c r="D301" s="2" t="s">
        <v>285</v>
      </c>
      <c r="E301" s="2" t="n">
        <v>0</v>
      </c>
      <c r="F301" s="2" t="n">
        <v>587.4093169618583</v>
      </c>
      <c r="G301" s="2" t="n">
        <v>297.3368989051134</v>
      </c>
      <c r="H301" s="2" t="n">
        <v>305.31976601208487</v>
      </c>
      <c r="I301" s="2" t="n">
        <v>1.041031681386562</v>
      </c>
      <c r="J301" s="2" t="n">
        <v>0.002720069440805736</v>
      </c>
      <c r="K301" s="2" t="n">
        <v>0.000226672453400478</v>
      </c>
      <c r="L301" s="2" t="n">
        <v>26.316324770730905</v>
      </c>
      <c r="M301" s="2" t="n">
        <v>0.6922315378278048</v>
      </c>
      <c r="N301" s="2" t="n">
        <v>1.3594849837051812</v>
      </c>
      <c r="O301" s="2" t="n">
        <v>5.198875</v>
      </c>
      <c r="P301" s="2" t="n">
        <v>3.598825236224529</v>
      </c>
      <c r="Q301" s="2" t="n">
        <v>28.056939</v>
      </c>
      <c r="R301" s="2" t="n">
        <v>13.444450341333827</v>
      </c>
      <c r="S301" s="2" t="n">
        <v>55.854896359811136</v>
      </c>
      <c r="T301" s="2" t="n">
        <v>80.6881705145674</v>
      </c>
      <c r="U301" s="2" t="n">
        <v>0.0007519805064499243</v>
      </c>
      <c r="V301" s="2" t="n">
        <v>16.59470459509743</v>
      </c>
      <c r="W301" s="2" t="n">
        <v>4.5274572566021105e-05</v>
      </c>
      <c r="X301" s="2" t="n">
        <v>381.1740176417685</v>
      </c>
      <c r="Y301" s="2" t="n">
        <v>294.49061503829097</v>
      </c>
      <c r="Z301" s="2" t="n">
        <v>9.655920389268935</v>
      </c>
      <c r="AA301" s="2" t="n">
        <v>314.51126069800847</v>
      </c>
      <c r="AB301" s="2" t="n">
        <v>17.17436179289507</v>
      </c>
      <c r="AC301" s="2" t="n">
        <v>195.27060891485715</v>
      </c>
      <c r="AD301" s="2" t="n">
        <v>0.6295962423871374</v>
      </c>
      <c r="AE301" s="2" t="n">
        <v>307.67772830737493</v>
      </c>
      <c r="AF301" s="2" t="n">
        <v>315.34867765441953</v>
      </c>
      <c r="AG301" s="2" t="n">
        <v>299.48326440197366</v>
      </c>
      <c r="AH301" s="2" t="n">
        <v>15.865413252445876</v>
      </c>
      <c r="AI301" s="2" t="n">
        <v>4.824346604623473</v>
      </c>
      <c r="AJ301" s="2" t="n">
        <v>314.3729110812227</v>
      </c>
      <c r="AK301" s="2" t="n">
        <v>314.98015231055865</v>
      </c>
      <c r="AL301" s="2" t="n">
        <v>315.29633974116126</v>
      </c>
      <c r="AM301" s="2" t="n">
        <v>8974785724.970163</v>
      </c>
      <c r="AN301" s="2" t="n">
        <v>8961572888.042555</v>
      </c>
      <c r="AO301" s="2" t="n">
        <v>307.791074757502</v>
      </c>
      <c r="AP301" s="2" t="n">
        <v>201.25988131485377</v>
      </c>
      <c r="AQ301" s="2" t="n">
        <v>0.7560771664025401</v>
      </c>
      <c r="AR301" s="2" t="n">
        <v>4.894024615531351</v>
      </c>
      <c r="AS301" s="2" t="n">
        <v>0.3392161651660825</v>
      </c>
      <c r="AT301" s="2" t="n">
        <v>4.810644751209706</v>
      </c>
      <c r="AU301" s="2" t="n">
        <v>302.1964981492914</v>
      </c>
      <c r="AV301" s="2" t="n">
        <v>7.849337180232401e-11</v>
      </c>
      <c r="AW301" s="2" t="n">
        <v>-2.2681161851878784e-05</v>
      </c>
      <c r="AX301" s="2" t="n">
        <v>134</v>
      </c>
      <c r="AY301" s="2" t="n">
        <v>9.048261517818901e-07</v>
      </c>
      <c r="AZ301" s="2" t="s">
        <v>131</v>
      </c>
      <c r="BA301" s="2" t="n">
        <v>4.48</v>
      </c>
      <c r="BB301" s="2" t="s">
        <v>132</v>
      </c>
      <c r="BC301" s="2" t="n">
        <v>4</v>
      </c>
      <c r="BD301" s="2" t="s">
        <v>133</v>
      </c>
      <c r="BE301" s="2" t="n">
        <v>3000</v>
      </c>
      <c r="BF301" s="2" t="s">
        <v>134</v>
      </c>
      <c r="BG301" s="2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0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52"/>
  </cols>
  <sheetData>
    <row r="1" customFormat="false" ht="16.15" hidden="false" customHeight="false" outlineLevel="0" collapsed="false">
      <c r="A1" s="1" t="s">
        <v>435</v>
      </c>
    </row>
    <row r="2" customFormat="false" ht="15" hidden="false" customHeight="false" outlineLevel="0" collapsed="false">
      <c r="A2" s="17" t="s">
        <v>436</v>
      </c>
    </row>
    <row r="4" customFormat="false" ht="26.85" hidden="false" customHeight="false" outlineLevel="0" collapsed="false">
      <c r="A4" s="6" t="s">
        <v>437</v>
      </c>
      <c r="B4" s="6" t="s">
        <v>438</v>
      </c>
      <c r="C4" s="6" t="s">
        <v>439</v>
      </c>
      <c r="D4" s="6" t="s">
        <v>440</v>
      </c>
      <c r="E4" s="6" t="s">
        <v>441</v>
      </c>
      <c r="F4" s="6" t="s">
        <v>442</v>
      </c>
      <c r="G4" s="6" t="s">
        <v>443</v>
      </c>
      <c r="H4" s="6" t="s">
        <v>444</v>
      </c>
      <c r="I4" s="6" t="s">
        <v>445</v>
      </c>
      <c r="J4" s="6" t="s">
        <v>446</v>
      </c>
    </row>
    <row r="5" customFormat="false" ht="15" hidden="false" customHeight="false" outlineLevel="0" collapsed="false">
      <c r="A5" s="7" t="s">
        <v>97</v>
      </c>
      <c r="B5" s="18" t="n">
        <v>0.9997468741204216</v>
      </c>
      <c r="C5" s="18" t="n">
        <v>0.9994349219438139</v>
      </c>
      <c r="D5" s="18" t="n">
        <v>0.9997712291277759</v>
      </c>
      <c r="E5" s="19" t="n">
        <v>0.1375174196650994</v>
      </c>
      <c r="F5" s="18" t="n">
        <v>0.0009974558586360578</v>
      </c>
      <c r="G5" s="18" t="n">
        <v>0.999880270192251</v>
      </c>
      <c r="H5" s="20" t="n">
        <v>0.8897138622762013</v>
      </c>
      <c r="I5" s="7" t="s">
        <v>447</v>
      </c>
      <c r="J5" s="9" t="s">
        <v>448</v>
      </c>
    </row>
    <row r="6" customFormat="false" ht="15" hidden="false" customHeight="false" outlineLevel="0" collapsed="false">
      <c r="A6" s="7" t="s">
        <v>102</v>
      </c>
      <c r="B6" s="18" t="n">
        <v>0.9995895919873762</v>
      </c>
      <c r="C6" s="18" t="n">
        <v>0.9985868545990546</v>
      </c>
      <c r="D6" s="18" t="n">
        <v>0.9996865873995674</v>
      </c>
      <c r="E6" s="19" t="n">
        <v>0.5301040871823222</v>
      </c>
      <c r="F6" s="18" t="n">
        <v>0.07267792019955967</v>
      </c>
      <c r="G6" s="18" t="n">
        <v>0.999962714228389</v>
      </c>
      <c r="H6" s="20" t="n">
        <v>0.8518740165514929</v>
      </c>
      <c r="I6" s="7" t="s">
        <v>449</v>
      </c>
      <c r="J6" s="9" t="s">
        <v>448</v>
      </c>
    </row>
    <row r="7" customFormat="false" ht="15" hidden="false" customHeight="false" outlineLevel="0" collapsed="false">
      <c r="A7" s="7" t="s">
        <v>450</v>
      </c>
      <c r="B7" s="18" t="n">
        <v>0.9997872813715832</v>
      </c>
      <c r="C7" s="18" t="n">
        <v>0.9995026940066023</v>
      </c>
      <c r="D7" s="18" t="n">
        <v>0.9998187466292643</v>
      </c>
      <c r="E7" s="19" t="n">
        <v>0.9236787505582872</v>
      </c>
      <c r="F7" s="18" t="n">
        <v>0.014784901576785523</v>
      </c>
      <c r="G7" s="18" t="n">
        <v>0.9999845818012045</v>
      </c>
      <c r="H7" s="20" t="n">
        <v>0.9747362448007844</v>
      </c>
      <c r="I7" s="7" t="s">
        <v>447</v>
      </c>
      <c r="J7" s="9" t="s">
        <v>448</v>
      </c>
    </row>
    <row r="8" customFormat="false" ht="15" hidden="false" customHeight="false" outlineLevel="0" collapsed="false">
      <c r="A8" s="7" t="s">
        <v>98</v>
      </c>
      <c r="B8" s="18" t="n">
        <v>0.999439184301239</v>
      </c>
      <c r="C8" s="18" t="n">
        <v>0.9991868856868389</v>
      </c>
      <c r="D8" s="18" t="n">
        <v>0.9995779284488897</v>
      </c>
      <c r="E8" s="19" t="n">
        <v>0.059502447244328134</v>
      </c>
      <c r="F8" s="18" t="n">
        <v>0.4524917967021024</v>
      </c>
      <c r="G8" s="18" t="n">
        <v>0.9999910739939539</v>
      </c>
      <c r="H8" s="20" t="n">
        <v>0.8813015257455046</v>
      </c>
      <c r="I8" s="7" t="s">
        <v>447</v>
      </c>
      <c r="J8" s="9" t="s">
        <v>448</v>
      </c>
    </row>
    <row r="10" customFormat="false" ht="15" hidden="false" customHeight="false" outlineLevel="0" collapsed="false">
      <c r="A10" s="3" t="s">
        <v>451</v>
      </c>
    </row>
    <row r="11" customFormat="false" ht="15" hidden="false" customHeight="false" outlineLevel="0" collapsed="false">
      <c r="A11" s="6" t="s">
        <v>452</v>
      </c>
      <c r="B11" s="6" t="s">
        <v>453</v>
      </c>
      <c r="C11" s="6" t="s">
        <v>454</v>
      </c>
      <c r="D11" s="6" t="s">
        <v>446</v>
      </c>
    </row>
    <row r="12" customFormat="false" ht="15" hidden="false" customHeight="false" outlineLevel="0" collapsed="false">
      <c r="A12" s="7" t="n">
        <v>1</v>
      </c>
      <c r="B12" s="7" t="s">
        <v>74</v>
      </c>
      <c r="C12" s="21" t="n">
        <v>0.033826985330632574</v>
      </c>
      <c r="D12" s="9" t="s">
        <v>448</v>
      </c>
    </row>
    <row r="13" customFormat="false" ht="15" hidden="false" customHeight="false" outlineLevel="0" collapsed="false">
      <c r="A13" s="7" t="n">
        <v>2</v>
      </c>
      <c r="B13" s="7" t="s">
        <v>75</v>
      </c>
      <c r="C13" s="21" t="n">
        <v>0.0234495806706386</v>
      </c>
      <c r="D13" s="9" t="s">
        <v>448</v>
      </c>
    </row>
    <row r="14" customFormat="false" ht="15" hidden="false" customHeight="false" outlineLevel="0" collapsed="false">
      <c r="A14" s="7" t="n">
        <v>3</v>
      </c>
      <c r="B14" s="7" t="s">
        <v>77</v>
      </c>
      <c r="C14" s="21" t="n">
        <v>0.02242668773513616</v>
      </c>
      <c r="D14" s="9" t="s">
        <v>448</v>
      </c>
    </row>
    <row r="15" customFormat="false" ht="15" hidden="false" customHeight="false" outlineLevel="0" collapsed="false">
      <c r="A15" s="7" t="n">
        <v>4</v>
      </c>
      <c r="B15" s="7" t="s">
        <v>72</v>
      </c>
      <c r="C15" s="21" t="n">
        <v>0.0191634611382901</v>
      </c>
      <c r="D15" s="9" t="s">
        <v>448</v>
      </c>
    </row>
    <row r="16" customFormat="false" ht="15" hidden="false" customHeight="false" outlineLevel="0" collapsed="false">
      <c r="A16" s="7" t="n">
        <v>5</v>
      </c>
      <c r="B16" s="7" t="s">
        <v>73</v>
      </c>
      <c r="C16" s="21" t="n">
        <v>0.009465091045978606</v>
      </c>
      <c r="D16" s="9" t="s">
        <v>448</v>
      </c>
    </row>
    <row r="17" customFormat="false" ht="15" hidden="false" customHeight="false" outlineLevel="0" collapsed="false">
      <c r="A17" s="7" t="n">
        <v>6</v>
      </c>
      <c r="B17" s="7" t="s">
        <v>76</v>
      </c>
      <c r="C17" s="21" t="n">
        <v>0.0004695086032343191</v>
      </c>
      <c r="D17" s="9" t="s">
        <v>448</v>
      </c>
    </row>
    <row r="18" customFormat="false" ht="15" hidden="false" customHeight="false" outlineLevel="0" collapsed="false">
      <c r="A18" s="7" t="n">
        <v>7</v>
      </c>
      <c r="B18" s="7" t="s">
        <v>79</v>
      </c>
      <c r="C18" s="21" t="n">
        <v>0.00011612576122043717</v>
      </c>
      <c r="D18" s="9" t="s">
        <v>448</v>
      </c>
    </row>
    <row r="19" customFormat="false" ht="15" hidden="false" customHeight="false" outlineLevel="0" collapsed="false">
      <c r="A19" s="7" t="n">
        <v>8</v>
      </c>
      <c r="B19" s="7" t="s">
        <v>80</v>
      </c>
      <c r="C19" s="21" t="n">
        <v>6.984504380979284e-05</v>
      </c>
      <c r="D19" s="9" t="s">
        <v>448</v>
      </c>
    </row>
    <row r="20" customFormat="false" ht="15" hidden="false" customHeight="false" outlineLevel="0" collapsed="false">
      <c r="A20" s="7" t="n">
        <v>9</v>
      </c>
      <c r="B20" s="7" t="s">
        <v>81</v>
      </c>
      <c r="C20" s="21" t="n">
        <v>6.100940904257681e-05</v>
      </c>
      <c r="D20" s="9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1"/>
    <col collapsed="false" customWidth="true" hidden="false" outlineLevel="0" max="15" min="14" style="0" width="14"/>
    <col collapsed="false" customWidth="true" hidden="false" outlineLevel="0" max="16" min="16" style="0" width="52"/>
  </cols>
  <sheetData>
    <row r="1" customFormat="false" ht="16.15" hidden="false" customHeight="false" outlineLevel="0" collapsed="false">
      <c r="A1" s="1" t="s">
        <v>455</v>
      </c>
    </row>
    <row r="3" customFormat="false" ht="26.85" hidden="false" customHeight="false" outlineLevel="0" collapsed="false">
      <c r="A3" s="6" t="s">
        <v>71</v>
      </c>
      <c r="B3" s="6" t="s">
        <v>456</v>
      </c>
      <c r="C3" s="6" t="s">
        <v>457</v>
      </c>
      <c r="D3" s="6" t="s">
        <v>458</v>
      </c>
      <c r="E3" s="6" t="s">
        <v>459</v>
      </c>
      <c r="F3" s="6" t="s">
        <v>460</v>
      </c>
      <c r="G3" s="6" t="s">
        <v>461</v>
      </c>
      <c r="H3" s="6" t="s">
        <v>462</v>
      </c>
      <c r="I3" s="6" t="s">
        <v>463</v>
      </c>
      <c r="J3" s="6" t="s">
        <v>119</v>
      </c>
      <c r="K3" s="6" t="s">
        <v>464</v>
      </c>
      <c r="L3" s="6" t="s">
        <v>465</v>
      </c>
      <c r="M3" s="6" t="s">
        <v>466</v>
      </c>
      <c r="N3" s="6" t="s">
        <v>467</v>
      </c>
      <c r="O3" s="6" t="s">
        <v>468</v>
      </c>
      <c r="P3" s="6" t="s">
        <v>446</v>
      </c>
    </row>
    <row r="4" customFormat="false" ht="15" hidden="false" customHeight="false" outlineLevel="0" collapsed="false">
      <c r="A4" s="7" t="s">
        <v>130</v>
      </c>
      <c r="B4" s="7" t="s">
        <v>469</v>
      </c>
      <c r="C4" s="20" t="n">
        <v>0.5783396809372161</v>
      </c>
      <c r="D4" s="20" t="n">
        <v>0.5784045931358048</v>
      </c>
      <c r="E4" s="20" t="n">
        <v>2.872147953612248</v>
      </c>
      <c r="F4" s="20" t="n">
        <v>2.833736084435269</v>
      </c>
      <c r="G4" s="20" t="n">
        <v>11.349513495309292</v>
      </c>
      <c r="H4" s="20" t="n">
        <v>10.731233539797</v>
      </c>
      <c r="I4" s="20" t="n">
        <v>331.16749476694264</v>
      </c>
      <c r="J4" s="22" t="b">
        <f aca="false">TRUE()</f>
        <v>1</v>
      </c>
      <c r="K4" s="20" t="n">
        <v>-0.0064912198588729</v>
      </c>
      <c r="L4" s="20" t="n">
        <v>1.3555203460181735</v>
      </c>
      <c r="M4" s="20" t="n">
        <v>5.761499395380678</v>
      </c>
      <c r="N4" s="23" t="n">
        <f aca="false">ABS(K4)</f>
        <v>0.0064912198588729</v>
      </c>
      <c r="O4" s="23" t="n">
        <f aca="false">ABS(L4)</f>
        <v>1.35552034601817</v>
      </c>
      <c r="P4" s="9" t="s">
        <v>470</v>
      </c>
    </row>
    <row r="5" customFormat="false" ht="15" hidden="false" customHeight="false" outlineLevel="0" collapsed="false">
      <c r="A5" s="7" t="s">
        <v>130</v>
      </c>
      <c r="B5" s="7" t="s">
        <v>471</v>
      </c>
      <c r="C5" s="20" t="n">
        <v>0.5773477095586155</v>
      </c>
      <c r="D5" s="20" t="n">
        <v>0.5781669983215713</v>
      </c>
      <c r="E5" s="20" t="n">
        <v>2.827119022391441</v>
      </c>
      <c r="F5" s="20" t="n">
        <v>2.866042013611642</v>
      </c>
      <c r="G5" s="20" t="n">
        <v>20.186822514733244</v>
      </c>
      <c r="H5" s="20" t="n">
        <v>20.17955103179932</v>
      </c>
      <c r="I5" s="20" t="n">
        <v>331.27216791210554</v>
      </c>
      <c r="J5" s="22" t="b">
        <f aca="false">TRUE()</f>
        <v>1</v>
      </c>
      <c r="K5" s="20" t="n">
        <v>-0.0819288762955783</v>
      </c>
      <c r="L5" s="20" t="n">
        <v>-1.3580746909970152</v>
      </c>
      <c r="M5" s="20" t="n">
        <v>0.0360339183090088</v>
      </c>
      <c r="N5" s="23" t="n">
        <f aca="false">ABS(K5)</f>
        <v>0.0819288762955783</v>
      </c>
      <c r="O5" s="23" t="n">
        <f aca="false">ABS(L5)</f>
        <v>1.35807469099702</v>
      </c>
      <c r="P5" s="9" t="s">
        <v>470</v>
      </c>
    </row>
    <row r="6" customFormat="false" ht="15" hidden="false" customHeight="false" outlineLevel="0" collapsed="false">
      <c r="A6" s="7" t="s">
        <v>130</v>
      </c>
      <c r="B6" s="7" t="s">
        <v>472</v>
      </c>
      <c r="C6" s="20" t="n">
        <v>0.5599334846351087</v>
      </c>
      <c r="D6" s="20" t="n">
        <v>0.5601425484400887</v>
      </c>
      <c r="E6" s="20" t="n">
        <v>4.800084215885446</v>
      </c>
      <c r="F6" s="20" t="n">
        <v>4.816033131261952</v>
      </c>
      <c r="G6" s="20" t="n">
        <v>7.506468502127948</v>
      </c>
      <c r="H6" s="20" t="n">
        <v>7.547142893978121</v>
      </c>
      <c r="I6" s="20" t="n">
        <v>340.341762743778</v>
      </c>
      <c r="J6" s="22" t="b">
        <f aca="false">TRUE()</f>
        <v>1</v>
      </c>
      <c r="K6" s="20" t="n">
        <v>-0.020906380497998</v>
      </c>
      <c r="L6" s="20" t="n">
        <v>-0.3311629081821951</v>
      </c>
      <c r="M6" s="20" t="n">
        <v>-0.5389376141616058</v>
      </c>
      <c r="N6" s="23" t="n">
        <f aca="false">ABS(K6)</f>
        <v>0.020906380497998</v>
      </c>
      <c r="O6" s="23" t="n">
        <f aca="false">ABS(L6)</f>
        <v>0.331162908182195</v>
      </c>
      <c r="P6" s="9" t="s">
        <v>470</v>
      </c>
    </row>
    <row r="7" customFormat="false" ht="15" hidden="false" customHeight="false" outlineLevel="0" collapsed="false">
      <c r="A7" s="7" t="s">
        <v>285</v>
      </c>
      <c r="B7" s="7" t="s">
        <v>469</v>
      </c>
      <c r="C7" s="20" t="n">
        <v>0.593998900538118</v>
      </c>
      <c r="D7" s="20" t="n">
        <v>0.5943249543820797</v>
      </c>
      <c r="E7" s="20" t="n">
        <v>3.7130349574170807</v>
      </c>
      <c r="F7" s="20" t="n">
        <v>3.76264452339292</v>
      </c>
      <c r="G7" s="20" t="n">
        <v>11.261201030896554</v>
      </c>
      <c r="H7" s="20" t="n">
        <v>10.697312629797816</v>
      </c>
      <c r="I7" s="20" t="n">
        <v>327.8280445865765</v>
      </c>
      <c r="J7" s="22" t="b">
        <f aca="false">TRUE()</f>
        <v>1</v>
      </c>
      <c r="K7" s="20" t="n">
        <v>-0.0326053843961671</v>
      </c>
      <c r="L7" s="20" t="n">
        <v>-1.3184760257688368</v>
      </c>
      <c r="M7" s="20" t="n">
        <v>5.27130897836905</v>
      </c>
      <c r="N7" s="23" t="n">
        <f aca="false">ABS(K7)</f>
        <v>0.0326053843961671</v>
      </c>
      <c r="O7" s="23" t="n">
        <f aca="false">ABS(L7)</f>
        <v>1.31847602576884</v>
      </c>
      <c r="P7" s="9" t="s">
        <v>470</v>
      </c>
    </row>
    <row r="8" customFormat="false" ht="15" hidden="false" customHeight="false" outlineLevel="0" collapsed="false">
      <c r="A8" s="7" t="s">
        <v>285</v>
      </c>
      <c r="B8" s="7" t="s">
        <v>471</v>
      </c>
      <c r="C8" s="20" t="n">
        <v>0.5930673033517705</v>
      </c>
      <c r="D8" s="20" t="n">
        <v>0.5943504817109023</v>
      </c>
      <c r="E8" s="20" t="n">
        <v>3.67521206473303</v>
      </c>
      <c r="F8" s="20" t="n">
        <v>3.763221837651104</v>
      </c>
      <c r="G8" s="20" t="n">
        <v>10.63451330364017</v>
      </c>
      <c r="H8" s="20" t="n">
        <v>10.6658260655715</v>
      </c>
      <c r="I8" s="20" t="n">
        <v>327.8182245190452</v>
      </c>
      <c r="J8" s="22" t="b">
        <f aca="false">TRUE()</f>
        <v>1</v>
      </c>
      <c r="K8" s="20" t="n">
        <v>-0.1283178359131831</v>
      </c>
      <c r="L8" s="20" t="n">
        <v>-2.338681499919408</v>
      </c>
      <c r="M8" s="20" t="n">
        <v>-0.2935802790972332</v>
      </c>
      <c r="N8" s="23" t="n">
        <f aca="false">ABS(K8)</f>
        <v>0.128317835913183</v>
      </c>
      <c r="O8" s="23" t="n">
        <f aca="false">ABS(L8)</f>
        <v>2.33868149991941</v>
      </c>
      <c r="P8" s="9" t="s">
        <v>470</v>
      </c>
    </row>
    <row r="9" customFormat="false" ht="15" hidden="false" customHeight="false" outlineLevel="0" collapsed="false">
      <c r="A9" s="7" t="s">
        <v>285</v>
      </c>
      <c r="B9" s="7" t="s">
        <v>472</v>
      </c>
      <c r="C9" s="20" t="n">
        <v>0.585182981328127</v>
      </c>
      <c r="D9" s="20" t="n">
        <v>0.5849776640567385</v>
      </c>
      <c r="E9" s="20" t="n">
        <v>5.638209515813596</v>
      </c>
      <c r="F9" s="20" t="n">
        <v>5.642958076490257</v>
      </c>
      <c r="G9" s="20" t="n">
        <v>6.559800216694345</v>
      </c>
      <c r="H9" s="20" t="n">
        <v>6.606108309893616</v>
      </c>
      <c r="I9" s="20" t="n">
        <v>334.2792089157776</v>
      </c>
      <c r="J9" s="22" t="b">
        <f aca="false">TRUE()</f>
        <v>1</v>
      </c>
      <c r="K9" s="20" t="n">
        <v>0.0205317271388505</v>
      </c>
      <c r="L9" s="20" t="n">
        <v>-0.0841502030015843</v>
      </c>
      <c r="M9" s="20" t="n">
        <v>-0.7009890093675583</v>
      </c>
      <c r="N9" s="23" t="n">
        <f aca="false">ABS(K9)</f>
        <v>0.0205317271388505</v>
      </c>
      <c r="O9" s="23" t="n">
        <f aca="false">ABS(L9)</f>
        <v>0.0841502030015843</v>
      </c>
      <c r="P9" s="9" t="s">
        <v>470</v>
      </c>
    </row>
    <row r="10" customFormat="false" ht="15" hidden="false" customHeight="false" outlineLevel="0" collapsed="false">
      <c r="A10" s="7" t="s">
        <v>130</v>
      </c>
      <c r="B10" s="7" t="s">
        <v>473</v>
      </c>
      <c r="C10" s="20" t="n">
        <v>0.5467150402992549</v>
      </c>
      <c r="D10" s="20" t="n">
        <v>0.5465820839727775</v>
      </c>
      <c r="E10" s="20" t="n">
        <v>6.294699323726131</v>
      </c>
      <c r="F10" s="20" t="n">
        <v>6.271887902630001</v>
      </c>
      <c r="G10" s="20" t="n">
        <v>23.813980908543165</v>
      </c>
      <c r="H10" s="20" t="n">
        <v>23.857854845393984</v>
      </c>
      <c r="I10" s="20" t="n">
        <v>347.02929281032374</v>
      </c>
      <c r="J10" s="22" t="b">
        <f aca="false">TRUE()</f>
        <v>1</v>
      </c>
      <c r="K10" s="20" t="n">
        <v>0.0132956326477362</v>
      </c>
      <c r="L10" s="20" t="n">
        <v>0.3637090051715351</v>
      </c>
      <c r="M10" s="20" t="n">
        <v>-0.1838972411188472</v>
      </c>
      <c r="N10" s="23" t="n">
        <f aca="false">ABS(K10)</f>
        <v>0.0132956326477362</v>
      </c>
      <c r="O10" s="23" t="n">
        <f aca="false">ABS(L10)</f>
        <v>0.363709005171535</v>
      </c>
      <c r="P10" s="9" t="s">
        <v>470</v>
      </c>
    </row>
    <row r="11" customFormat="false" ht="15" hidden="false" customHeight="false" outlineLevel="0" collapsed="false">
      <c r="A11" s="7" t="s">
        <v>285</v>
      </c>
      <c r="B11" s="7" t="s">
        <v>473</v>
      </c>
      <c r="C11" s="20" t="n">
        <v>0.5833791472241799</v>
      </c>
      <c r="D11" s="20" t="n">
        <v>0.5829583046863607</v>
      </c>
      <c r="E11" s="20" t="n">
        <v>6.0017878717884185</v>
      </c>
      <c r="F11" s="20" t="n">
        <v>6.010398314295911</v>
      </c>
      <c r="G11" s="20" t="n">
        <v>23.58132535459988</v>
      </c>
      <c r="H11" s="20" t="n">
        <v>23.58926099099948</v>
      </c>
      <c r="I11" s="20" t="n">
        <v>335.59758573555376</v>
      </c>
      <c r="J11" s="22" t="b">
        <f aca="false">TRUE()</f>
        <v>1</v>
      </c>
      <c r="K11" s="20" t="n">
        <v>0.0420842537819265</v>
      </c>
      <c r="L11" s="20" t="n">
        <v>-0.1432590996009664</v>
      </c>
      <c r="M11" s="20" t="n">
        <v>-0.0336408860058209</v>
      </c>
      <c r="N11" s="23" t="n">
        <f aca="false">ABS(K11)</f>
        <v>0.0420842537819265</v>
      </c>
      <c r="O11" s="23" t="n">
        <f aca="false">ABS(L11)</f>
        <v>0.143259099600966</v>
      </c>
      <c r="P11" s="9" t="s">
        <v>470</v>
      </c>
    </row>
    <row r="13" customFormat="false" ht="15" hidden="false" customHeight="false" outlineLevel="0" collapsed="false">
      <c r="A13" s="3" t="s">
        <v>474</v>
      </c>
      <c r="B13" s="23" t="n">
        <f aca="false">MAX(N4:N11)</f>
        <v>0.128317835913183</v>
      </c>
    </row>
    <row r="14" customFormat="false" ht="15" hidden="false" customHeight="false" outlineLevel="0" collapsed="false">
      <c r="A14" s="3" t="s">
        <v>475</v>
      </c>
      <c r="B14" s="24" t="n">
        <f aca="false">MAX(O4:O11)</f>
        <v>2.33868149991941</v>
      </c>
    </row>
    <row r="16" customFormat="false" ht="15" hidden="false" customHeight="false" outlineLevel="0" collapsed="false">
      <c r="A16" s="17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8" min="4" style="0" width="12"/>
    <col collapsed="false" customWidth="true" hidden="false" outlineLevel="0" max="9" min="9" style="0" width="16"/>
    <col collapsed="false" customWidth="true" hidden="false" outlineLevel="0" max="10" min="10" style="0" width="52"/>
  </cols>
  <sheetData>
    <row r="1" customFormat="false" ht="16.15" hidden="false" customHeight="false" outlineLevel="0" collapsed="false">
      <c r="A1" s="1" t="s">
        <v>477</v>
      </c>
    </row>
    <row r="3" customFormat="false" ht="15" hidden="false" customHeight="false" outlineLevel="0" collapsed="false">
      <c r="A3" s="6" t="s">
        <v>478</v>
      </c>
      <c r="B3" s="6" t="s">
        <v>479</v>
      </c>
      <c r="C3" s="6" t="s">
        <v>480</v>
      </c>
      <c r="D3" s="6" t="s">
        <v>18</v>
      </c>
      <c r="E3" s="6" t="s">
        <v>446</v>
      </c>
    </row>
    <row r="4" customFormat="false" ht="15" hidden="false" customHeight="false" outlineLevel="0" collapsed="false">
      <c r="A4" s="7" t="s">
        <v>481</v>
      </c>
      <c r="B4" s="20" t="n">
        <v>0.5965906020740813</v>
      </c>
      <c r="C4" s="20" t="n">
        <v>0.6367728001004268</v>
      </c>
      <c r="D4" s="7" t="s">
        <v>25</v>
      </c>
      <c r="E4" s="9" t="s">
        <v>482</v>
      </c>
    </row>
    <row r="5" customFormat="false" ht="15" hidden="false" customHeight="false" outlineLevel="0" collapsed="false">
      <c r="A5" s="7" t="s">
        <v>483</v>
      </c>
      <c r="B5" s="19" t="n">
        <v>2.003882844904737</v>
      </c>
      <c r="C5" s="19" t="n">
        <v>2.1040764409992594</v>
      </c>
      <c r="D5" s="7" t="s">
        <v>40</v>
      </c>
      <c r="E5" s="9" t="s">
        <v>482</v>
      </c>
    </row>
    <row r="6" customFormat="false" ht="15" hidden="false" customHeight="false" outlineLevel="0" collapsed="false">
      <c r="A6" s="7" t="s">
        <v>484</v>
      </c>
      <c r="B6" s="18" t="n">
        <v>0.00037944758755233723</v>
      </c>
      <c r="C6" s="18" t="n">
        <v>0.0</v>
      </c>
      <c r="D6" s="7" t="s">
        <v>485</v>
      </c>
      <c r="E6" s="9" t="s">
        <v>482</v>
      </c>
    </row>
    <row r="7" customFormat="false" ht="15" hidden="false" customHeight="false" outlineLevel="0" collapsed="false">
      <c r="A7" s="7" t="s">
        <v>486</v>
      </c>
      <c r="B7" s="19" t="n">
        <v>0.15079148310931434</v>
      </c>
      <c r="C7" s="19" t="n">
        <v>0.22889514095565394</v>
      </c>
      <c r="D7" s="7" t="s">
        <v>33</v>
      </c>
      <c r="E7" s="9" t="s">
        <v>482</v>
      </c>
    </row>
    <row r="8" customFormat="false" ht="15" hidden="false" customHeight="false" outlineLevel="0" collapsed="false">
      <c r="A8" s="7" t="s">
        <v>487</v>
      </c>
      <c r="B8" s="19" t="n">
        <v>0.31825873777047153</v>
      </c>
      <c r="C8" s="19" t="n">
        <v>0.4338948540310916</v>
      </c>
      <c r="D8" s="7" t="s">
        <v>33</v>
      </c>
      <c r="E8" s="9" t="s">
        <v>482</v>
      </c>
    </row>
    <row r="9" customFormat="false" ht="15" hidden="false" customHeight="false" outlineLevel="0" collapsed="false">
      <c r="A9" s="7" t="s">
        <v>488</v>
      </c>
      <c r="B9" s="7" t="s">
        <v>489</v>
      </c>
      <c r="C9" s="7" t="s">
        <v>490</v>
      </c>
      <c r="D9" s="7"/>
      <c r="E9" s="9" t="s">
        <v>482</v>
      </c>
    </row>
    <row r="10" customFormat="false" ht="15" hidden="false" customHeight="false" outlineLevel="0" collapsed="false">
      <c r="A10" s="7" t="s">
        <v>491</v>
      </c>
      <c r="B10" s="7"/>
      <c r="C10" s="18" t="n">
        <v>-0.000613835674214261</v>
      </c>
      <c r="D10" s="7" t="s">
        <v>485</v>
      </c>
      <c r="E10" s="9" t="s">
        <v>492</v>
      </c>
    </row>
    <row r="12" customFormat="false" ht="15" hidden="false" customHeight="false" outlineLevel="0" collapsed="false">
      <c r="A12" s="3" t="s">
        <v>493</v>
      </c>
    </row>
    <row r="13" customFormat="false" ht="15" hidden="false" customHeight="false" outlineLevel="0" collapsed="false">
      <c r="A13" s="6" t="s">
        <v>494</v>
      </c>
      <c r="B13" s="6" t="s">
        <v>495</v>
      </c>
      <c r="C13" s="6" t="s">
        <v>496</v>
      </c>
      <c r="D13" s="6" t="s">
        <v>497</v>
      </c>
      <c r="E13" s="6" t="s">
        <v>498</v>
      </c>
      <c r="F13" s="6" t="s">
        <v>458</v>
      </c>
      <c r="G13" s="6" t="s">
        <v>499</v>
      </c>
      <c r="H13" s="6" t="s">
        <v>500</v>
      </c>
      <c r="I13" s="6" t="s">
        <v>501</v>
      </c>
      <c r="J13" s="6" t="s">
        <v>446</v>
      </c>
    </row>
    <row r="14" customFormat="false" ht="15" hidden="false" customHeight="false" outlineLevel="0" collapsed="false">
      <c r="A14" s="7" t="s">
        <v>130</v>
      </c>
      <c r="B14" s="20" t="n">
        <v>900.0</v>
      </c>
      <c r="C14" s="20" t="n">
        <v>323.15</v>
      </c>
      <c r="D14" s="20" t="n">
        <v>303.15</v>
      </c>
      <c r="E14" s="20" t="n">
        <v>0.5</v>
      </c>
      <c r="F14" s="20" t="n">
        <v>0.5296660030077477</v>
      </c>
      <c r="G14" s="20" t="n">
        <v>0.52727967218396</v>
      </c>
      <c r="H14" s="20" t="n">
        <v>0.23863308237876968</v>
      </c>
      <c r="I14" s="23" t="n">
        <f aca="false">ABS(H14)</f>
        <v>0.23863308237877</v>
      </c>
      <c r="J14" s="9" t="s">
        <v>482</v>
      </c>
    </row>
    <row r="15" customFormat="false" ht="15" hidden="false" customHeight="false" outlineLevel="0" collapsed="false">
      <c r="A15" s="7" t="s">
        <v>130</v>
      </c>
      <c r="B15" s="20" t="n">
        <v>900.0</v>
      </c>
      <c r="C15" s="20" t="n">
        <v>323.15</v>
      </c>
      <c r="D15" s="20" t="n">
        <v>303.15</v>
      </c>
      <c r="E15" s="20" t="n">
        <v>4.9</v>
      </c>
      <c r="F15" s="20" t="n">
        <v>0.5272749370461803</v>
      </c>
      <c r="G15" s="20" t="n">
        <v>0.5273910029866954</v>
      </c>
      <c r="H15" s="20" t="n">
        <v>-0.011606594051505326</v>
      </c>
      <c r="I15" s="23" t="n">
        <f aca="false">ABS(H15)</f>
        <v>0.0116065940515053</v>
      </c>
      <c r="J15" s="9" t="s">
        <v>482</v>
      </c>
    </row>
    <row r="16" customFormat="false" ht="15" hidden="false" customHeight="false" outlineLevel="0" collapsed="false">
      <c r="A16" s="7" t="s">
        <v>130</v>
      </c>
      <c r="B16" s="20" t="n">
        <v>700.0</v>
      </c>
      <c r="C16" s="20" t="n">
        <v>332.15</v>
      </c>
      <c r="D16" s="20" t="n">
        <v>288.15</v>
      </c>
      <c r="E16" s="20" t="n">
        <v>3.0</v>
      </c>
      <c r="F16" s="20" t="n">
        <v>0.4500298940689136</v>
      </c>
      <c r="G16" s="20" t="n">
        <v>0.448497952391192</v>
      </c>
      <c r="H16" s="20" t="n">
        <v>0.15319416777215822</v>
      </c>
      <c r="I16" s="23" t="n">
        <f aca="false">ABS(H16)</f>
        <v>0.153194167772158</v>
      </c>
      <c r="J16" s="9" t="s">
        <v>482</v>
      </c>
    </row>
    <row r="17" customFormat="false" ht="15" hidden="false" customHeight="false" outlineLevel="0" collapsed="false">
      <c r="A17" s="7" t="s">
        <v>285</v>
      </c>
      <c r="B17" s="20" t="n">
        <v>900.0</v>
      </c>
      <c r="C17" s="20" t="n">
        <v>323.15</v>
      </c>
      <c r="D17" s="20" t="n">
        <v>303.15</v>
      </c>
      <c r="E17" s="20" t="n">
        <v>0.5</v>
      </c>
      <c r="F17" s="20" t="n">
        <v>0.5642557775365554</v>
      </c>
      <c r="G17" s="20" t="n">
        <v>0.5627488521554274</v>
      </c>
      <c r="H17" s="20" t="n">
        <v>0.15069253811280658</v>
      </c>
      <c r="I17" s="23" t="n">
        <f aca="false">ABS(H17)</f>
        <v>0.150692538112807</v>
      </c>
      <c r="J17" s="9" t="s">
        <v>482</v>
      </c>
    </row>
    <row r="18" customFormat="false" ht="15" hidden="false" customHeight="false" outlineLevel="0" collapsed="false">
      <c r="A18" s="7" t="s">
        <v>285</v>
      </c>
      <c r="B18" s="20" t="n">
        <v>900.0</v>
      </c>
      <c r="C18" s="20" t="n">
        <v>323.15</v>
      </c>
      <c r="D18" s="20" t="n">
        <v>303.15</v>
      </c>
      <c r="E18" s="20" t="n">
        <v>4.9</v>
      </c>
      <c r="F18" s="20" t="n">
        <v>0.5638195331555129</v>
      </c>
      <c r="G18" s="20" t="n">
        <v>0.5627699329177165</v>
      </c>
      <c r="H18" s="20" t="n">
        <v>0.10496002377964331</v>
      </c>
      <c r="I18" s="23" t="n">
        <f aca="false">ABS(H18)</f>
        <v>0.104960023779643</v>
      </c>
      <c r="J18" s="9" t="s">
        <v>482</v>
      </c>
    </row>
    <row r="19" customFormat="false" ht="15" hidden="false" customHeight="false" outlineLevel="0" collapsed="false">
      <c r="A19" s="7" t="s">
        <v>285</v>
      </c>
      <c r="B19" s="20" t="n">
        <v>700.0</v>
      </c>
      <c r="C19" s="20" t="n">
        <v>332.15</v>
      </c>
      <c r="D19" s="20" t="n">
        <v>288.15</v>
      </c>
      <c r="E19" s="20" t="n">
        <v>3.0</v>
      </c>
      <c r="F19" s="20" t="n">
        <v>0.4808565098519172</v>
      </c>
      <c r="G19" s="20" t="n">
        <v>0.481279999687113</v>
      </c>
      <c r="H19" s="20" t="n">
        <v>-0.04234898351958005</v>
      </c>
      <c r="I19" s="23" t="n">
        <f aca="false">ABS(H19)</f>
        <v>0.0423489835195801</v>
      </c>
      <c r="J19" s="9" t="s">
        <v>482</v>
      </c>
    </row>
    <row r="21" customFormat="false" ht="15" hidden="false" customHeight="false" outlineLevel="0" collapsed="false">
      <c r="A21" s="3" t="s">
        <v>502</v>
      </c>
      <c r="B21" s="23" t="n">
        <f aca="false">MAX(I14:I19)</f>
        <v>0.23863308237877</v>
      </c>
    </row>
    <row r="22" customFormat="false" ht="15" hidden="false" customHeight="false" outlineLevel="0" collapsed="false">
      <c r="A22" s="17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17" min="5" style="0" width="13"/>
    <col collapsed="false" customWidth="true" hidden="false" outlineLevel="0" max="18" min="18" style="0" width="44"/>
  </cols>
  <sheetData>
    <row r="1" customFormat="false" ht="16.15" hidden="false" customHeight="false" outlineLevel="0" collapsed="false">
      <c r="A1" s="1" t="s">
        <v>504</v>
      </c>
    </row>
    <row r="3" customFormat="false" ht="15" hidden="false" customHeight="false" outlineLevel="0" collapsed="false">
      <c r="A3" s="6" t="s">
        <v>478</v>
      </c>
      <c r="B3" s="6" t="s">
        <v>17</v>
      </c>
      <c r="C3" s="6" t="s">
        <v>18</v>
      </c>
      <c r="D3" s="6" t="s">
        <v>446</v>
      </c>
    </row>
    <row r="4" customFormat="false" ht="15" hidden="false" customHeight="false" outlineLevel="0" collapsed="false">
      <c r="A4" s="7" t="s">
        <v>505</v>
      </c>
      <c r="B4" s="25" t="n">
        <v>1864.92975</v>
      </c>
      <c r="C4" s="7" t="s">
        <v>47</v>
      </c>
      <c r="D4" s="9" t="s">
        <v>506</v>
      </c>
    </row>
    <row r="5" customFormat="false" ht="15" hidden="false" customHeight="false" outlineLevel="0" collapsed="false">
      <c r="A5" s="7" t="s">
        <v>507</v>
      </c>
      <c r="B5" s="25" t="n">
        <v>1976.1348595139177</v>
      </c>
      <c r="C5" s="7" t="s">
        <v>47</v>
      </c>
      <c r="D5" s="9" t="s">
        <v>506</v>
      </c>
    </row>
    <row r="6" customFormat="false" ht="15" hidden="false" customHeight="false" outlineLevel="0" collapsed="false">
      <c r="A6" s="7" t="s">
        <v>508</v>
      </c>
      <c r="B6" s="25" t="n">
        <v>1854.7350113463813</v>
      </c>
      <c r="C6" s="7" t="s">
        <v>47</v>
      </c>
      <c r="D6" s="9" t="s">
        <v>506</v>
      </c>
    </row>
    <row r="7" customFormat="false" ht="15" hidden="false" customHeight="false" outlineLevel="0" collapsed="false">
      <c r="A7" s="7" t="s">
        <v>509</v>
      </c>
      <c r="B7" s="25" t="n">
        <v>1029.8939486527559</v>
      </c>
      <c r="C7" s="7" t="s">
        <v>47</v>
      </c>
      <c r="D7" s="9" t="s">
        <v>506</v>
      </c>
    </row>
    <row r="8" customFormat="false" ht="15" hidden="false" customHeight="false" outlineLevel="0" collapsed="false">
      <c r="A8" s="7" t="s">
        <v>510</v>
      </c>
      <c r="B8" s="25" t="n">
        <v>965.1568831830779</v>
      </c>
      <c r="C8" s="7" t="s">
        <v>47</v>
      </c>
      <c r="D8" s="9" t="s">
        <v>506</v>
      </c>
    </row>
    <row r="9" customFormat="false" ht="15" hidden="false" customHeight="false" outlineLevel="0" collapsed="false">
      <c r="A9" s="7" t="s">
        <v>511</v>
      </c>
      <c r="B9" s="25" t="n">
        <v>882.4596026741681</v>
      </c>
      <c r="C9" s="7" t="s">
        <v>47</v>
      </c>
      <c r="D9" s="9" t="s">
        <v>506</v>
      </c>
    </row>
    <row r="10" customFormat="false" ht="15" hidden="false" customHeight="false" outlineLevel="0" collapsed="false">
      <c r="A10" s="7" t="s">
        <v>512</v>
      </c>
      <c r="B10" s="25" t="n">
        <v>823.3824405911337</v>
      </c>
      <c r="C10" s="7" t="s">
        <v>47</v>
      </c>
      <c r="D10" s="9" t="s">
        <v>506</v>
      </c>
    </row>
    <row r="12" customFormat="false" ht="15" hidden="false" customHeight="false" outlineLevel="0" collapsed="false">
      <c r="A12" s="3" t="s">
        <v>513</v>
      </c>
    </row>
    <row r="13" customFormat="false" ht="26.85" hidden="false" customHeight="false" outlineLevel="0" collapsed="false">
      <c r="A13" s="6" t="s">
        <v>514</v>
      </c>
      <c r="B13" s="6" t="s">
        <v>515</v>
      </c>
      <c r="C13" s="6"/>
      <c r="D13" s="6" t="s">
        <v>446</v>
      </c>
    </row>
    <row r="14" customFormat="false" ht="15" hidden="false" customHeight="false" outlineLevel="0" collapsed="false">
      <c r="A14" s="7" t="n">
        <v>1</v>
      </c>
      <c r="B14" s="26" t="n">
        <v>204.15</v>
      </c>
      <c r="D14" s="9" t="s">
        <v>516</v>
      </c>
    </row>
    <row r="15" customFormat="false" ht="15" hidden="false" customHeight="false" outlineLevel="0" collapsed="false">
      <c r="A15" s="7" t="n">
        <v>2</v>
      </c>
      <c r="B15" s="26" t="n">
        <v>191.88</v>
      </c>
      <c r="D15" s="9" t="s">
        <v>516</v>
      </c>
    </row>
    <row r="16" customFormat="false" ht="15" hidden="false" customHeight="false" outlineLevel="0" collapsed="false">
      <c r="A16" s="7" t="n">
        <v>3</v>
      </c>
      <c r="B16" s="26" t="n">
        <v>204.32</v>
      </c>
      <c r="D16" s="9" t="s">
        <v>516</v>
      </c>
    </row>
    <row r="17" customFormat="false" ht="15" hidden="false" customHeight="false" outlineLevel="0" collapsed="false">
      <c r="A17" s="7" t="n">
        <v>4</v>
      </c>
      <c r="B17" s="26" t="n">
        <v>183.05</v>
      </c>
      <c r="D17" s="9" t="s">
        <v>516</v>
      </c>
    </row>
    <row r="18" customFormat="false" ht="15" hidden="false" customHeight="false" outlineLevel="0" collapsed="false">
      <c r="A18" s="7" t="n">
        <v>5</v>
      </c>
      <c r="B18" s="26" t="n">
        <v>165.31</v>
      </c>
      <c r="D18" s="9" t="s">
        <v>516</v>
      </c>
    </row>
    <row r="19" customFormat="false" ht="15" hidden="false" customHeight="false" outlineLevel="0" collapsed="false">
      <c r="A19" s="7" t="n">
        <v>6</v>
      </c>
      <c r="B19" s="26" t="n">
        <v>122.77</v>
      </c>
      <c r="D19" s="9" t="s">
        <v>516</v>
      </c>
    </row>
    <row r="20" customFormat="false" ht="15" hidden="false" customHeight="false" outlineLevel="0" collapsed="false">
      <c r="A20" s="7" t="n">
        <v>7</v>
      </c>
      <c r="B20" s="26" t="n">
        <v>110.99</v>
      </c>
      <c r="D20" s="9" t="s">
        <v>516</v>
      </c>
    </row>
    <row r="21" customFormat="false" ht="15" hidden="false" customHeight="false" outlineLevel="0" collapsed="false">
      <c r="A21" s="7" t="n">
        <v>8</v>
      </c>
      <c r="B21" s="26" t="n">
        <v>120.04</v>
      </c>
      <c r="D21" s="9" t="s">
        <v>516</v>
      </c>
    </row>
    <row r="22" customFormat="false" ht="15" hidden="false" customHeight="false" outlineLevel="0" collapsed="false">
      <c r="A22" s="7" t="n">
        <v>9</v>
      </c>
      <c r="B22" s="26" t="n">
        <v>132.93</v>
      </c>
      <c r="D22" s="9" t="s">
        <v>516</v>
      </c>
    </row>
    <row r="23" customFormat="false" ht="15" hidden="false" customHeight="false" outlineLevel="0" collapsed="false">
      <c r="A23" s="7" t="n">
        <v>10</v>
      </c>
      <c r="B23" s="26" t="n">
        <v>165.15</v>
      </c>
      <c r="D23" s="9" t="s">
        <v>516</v>
      </c>
    </row>
    <row r="24" customFormat="false" ht="15" hidden="false" customHeight="false" outlineLevel="0" collapsed="false">
      <c r="A24" s="7" t="n">
        <v>11</v>
      </c>
      <c r="B24" s="26" t="n">
        <v>176.26</v>
      </c>
      <c r="D24" s="9" t="s">
        <v>516</v>
      </c>
    </row>
    <row r="25" customFormat="false" ht="15" hidden="false" customHeight="false" outlineLevel="0" collapsed="false">
      <c r="A25" s="7" t="n">
        <v>12</v>
      </c>
      <c r="B25" s="26" t="n">
        <v>188.42</v>
      </c>
      <c r="D25" s="9" t="s">
        <v>516</v>
      </c>
    </row>
    <row r="26" customFormat="false" ht="15" hidden="false" customHeight="false" outlineLevel="0" collapsed="false">
      <c r="A26" s="7" t="s">
        <v>517</v>
      </c>
      <c r="B26" s="27" t="n">
        <f aca="false">SUM(B14:B25)</f>
        <v>1965.27</v>
      </c>
      <c r="C26" s="7" t="s">
        <v>47</v>
      </c>
    </row>
    <row r="27" customFormat="false" ht="15" hidden="false" customHeight="false" outlineLevel="0" collapsed="false">
      <c r="A27" s="7" t="s">
        <v>518</v>
      </c>
      <c r="B27" s="25" t="n">
        <v>1935.5</v>
      </c>
      <c r="C27" s="7" t="s">
        <v>47</v>
      </c>
      <c r="D27" s="9" t="s">
        <v>519</v>
      </c>
    </row>
    <row r="28" customFormat="false" ht="15" hidden="false" customHeight="false" outlineLevel="0" collapsed="false">
      <c r="A28" s="7" t="s">
        <v>520</v>
      </c>
      <c r="B28" s="28" t="n">
        <f aca="false">B27/B26-1</f>
        <v>-0.0151480458155877</v>
      </c>
    </row>
    <row r="30" customFormat="false" ht="15" hidden="false" customHeight="false" outlineLevel="0" collapsed="false">
      <c r="A30" s="3" t="s">
        <v>521</v>
      </c>
    </row>
    <row r="31" customFormat="false" ht="39.55" hidden="false" customHeight="false" outlineLevel="0" collapsed="false">
      <c r="A31" s="6" t="s">
        <v>71</v>
      </c>
      <c r="B31" s="6" t="s">
        <v>522</v>
      </c>
      <c r="C31" s="6" t="s">
        <v>523</v>
      </c>
      <c r="D31" s="6" t="s">
        <v>524</v>
      </c>
      <c r="E31" s="6" t="s">
        <v>525</v>
      </c>
      <c r="F31" s="6" t="s">
        <v>526</v>
      </c>
      <c r="G31" s="6" t="s">
        <v>527</v>
      </c>
      <c r="H31" s="6" t="s">
        <v>528</v>
      </c>
      <c r="I31" s="6" t="s">
        <v>529</v>
      </c>
      <c r="J31" s="6" t="s">
        <v>530</v>
      </c>
      <c r="K31" s="6" t="s">
        <v>531</v>
      </c>
      <c r="L31" s="6" t="s">
        <v>532</v>
      </c>
      <c r="M31" s="6" t="s">
        <v>533</v>
      </c>
      <c r="N31" s="6" t="s">
        <v>534</v>
      </c>
      <c r="O31" s="6" t="s">
        <v>535</v>
      </c>
      <c r="P31" s="6" t="s">
        <v>536</v>
      </c>
      <c r="Q31" s="6" t="s">
        <v>446</v>
      </c>
    </row>
    <row r="32" customFormat="false" ht="15" hidden="false" customHeight="false" outlineLevel="0" collapsed="false">
      <c r="A32" s="7" t="s">
        <v>130</v>
      </c>
      <c r="B32" s="29" t="n">
        <v>1</v>
      </c>
      <c r="C32" s="19" t="n">
        <v>0.528</v>
      </c>
      <c r="D32" s="19" t="n">
        <v>0.5004566601497098</v>
      </c>
      <c r="E32" s="19" t="n">
        <v>384.7767281993318</v>
      </c>
      <c r="F32" s="19" t="n">
        <v>728.7438034078253</v>
      </c>
      <c r="G32" s="19" t="n">
        <v>110.81286869978868</v>
      </c>
      <c r="H32" s="29" t="n">
        <v>0</v>
      </c>
      <c r="I32" s="19" t="n">
        <v>329.0498465742157</v>
      </c>
      <c r="J32" s="29" t="n">
        <v>0</v>
      </c>
      <c r="K32" s="19" t="n">
        <v>16500.0</v>
      </c>
      <c r="L32" s="19" t="n">
        <v>1523.0397092493258</v>
      </c>
      <c r="M32" s="19" t="n">
        <v>10.833598034113308</v>
      </c>
      <c r="N32" s="29" t="n">
        <v>27</v>
      </c>
      <c r="O32" s="19" t="n">
        <v>-3463.5740678148104</v>
      </c>
      <c r="P32" s="19" t="n">
        <v>5.999011497515869</v>
      </c>
      <c r="Q32" s="9" t="s">
        <v>537</v>
      </c>
    </row>
    <row r="33" customFormat="false" ht="15" hidden="false" customHeight="false" outlineLevel="0" collapsed="false">
      <c r="A33" s="7" t="s">
        <v>130</v>
      </c>
      <c r="B33" s="29" t="n">
        <v>2</v>
      </c>
      <c r="C33" s="19" t="n">
        <v>1.056</v>
      </c>
      <c r="D33" s="19" t="n">
        <v>0.8303627709454627</v>
      </c>
      <c r="E33" s="19" t="n">
        <v>638.4254535194871</v>
      </c>
      <c r="F33" s="19" t="n">
        <v>604.56955825709</v>
      </c>
      <c r="G33" s="19" t="n">
        <v>241.52981974316245</v>
      </c>
      <c r="H33" s="29" t="n">
        <v>0</v>
      </c>
      <c r="I33" s="19" t="n">
        <v>349.08007610338814</v>
      </c>
      <c r="J33" s="29" t="n">
        <v>0</v>
      </c>
      <c r="K33" s="19" t="n">
        <v>21000.0</v>
      </c>
      <c r="L33" s="19" t="n">
        <v>2748.570302938515</v>
      </c>
      <c r="M33" s="19" t="n">
        <v>7.640335769308415</v>
      </c>
      <c r="N33" s="29" t="n">
        <v>13</v>
      </c>
      <c r="O33" s="19" t="n">
        <v>2526.328930269563</v>
      </c>
      <c r="P33" s="19" t="n">
        <v>4.4850593798717</v>
      </c>
      <c r="Q33" s="9" t="s">
        <v>537</v>
      </c>
    </row>
    <row r="34" customFormat="false" ht="15" hidden="false" customHeight="false" outlineLevel="0" collapsed="false">
      <c r="A34" s="7" t="s">
        <v>130</v>
      </c>
      <c r="B34" s="29" t="n">
        <v>3</v>
      </c>
      <c r="C34" s="19" t="n">
        <v>1.584</v>
      </c>
      <c r="D34" s="19" t="n">
        <v>0.9474804004644684</v>
      </c>
      <c r="E34" s="19" t="n">
        <v>728.4714892487423</v>
      </c>
      <c r="F34" s="19" t="n">
        <v>459.89361694996353</v>
      </c>
      <c r="G34" s="19" t="n">
        <v>402.2278919215304</v>
      </c>
      <c r="H34" s="29" t="n">
        <v>75</v>
      </c>
      <c r="I34" s="19" t="n">
        <v>389.3622012969156</v>
      </c>
      <c r="J34" s="29" t="n">
        <v>0</v>
      </c>
      <c r="K34" s="19" t="n">
        <v>25500.0</v>
      </c>
      <c r="L34" s="19" t="n">
        <v>3168.36176654641</v>
      </c>
      <c r="M34" s="19" t="n">
        <v>8.048323354121147</v>
      </c>
      <c r="N34" s="29" t="n">
        <v>14</v>
      </c>
      <c r="O34" s="19" t="n">
        <v>1619.5250163947603</v>
      </c>
      <c r="P34" s="19" t="n">
        <v>4.687635029327136</v>
      </c>
      <c r="Q34" s="9" t="s">
        <v>537</v>
      </c>
    </row>
    <row r="35" customFormat="false" ht="15" hidden="false" customHeight="false" outlineLevel="0" collapsed="false">
      <c r="A35" s="7" t="s">
        <v>130</v>
      </c>
      <c r="B35" s="29" t="n">
        <v>4</v>
      </c>
      <c r="C35" s="19" t="n">
        <v>2.112</v>
      </c>
      <c r="D35" s="19" t="n">
        <v>0.9791345051201736</v>
      </c>
      <c r="E35" s="19" t="n">
        <v>752.8087871475411</v>
      </c>
      <c r="F35" s="19" t="n">
        <v>356.44355452061603</v>
      </c>
      <c r="G35" s="19" t="n">
        <v>508.7840948669448</v>
      </c>
      <c r="H35" s="29" t="n">
        <v>533</v>
      </c>
      <c r="I35" s="19" t="n">
        <v>426.5901093735283</v>
      </c>
      <c r="J35" s="29" t="n">
        <v>270</v>
      </c>
      <c r="K35" s="19" t="n">
        <v>30000.0</v>
      </c>
      <c r="L35" s="19" t="n">
        <v>3274.062370624677</v>
      </c>
      <c r="M35" s="19" t="n">
        <v>9.162928681250545</v>
      </c>
      <c r="N35" s="29" t="n">
        <v>18</v>
      </c>
      <c r="O35" s="19" t="n">
        <v>-1975.732915696364</v>
      </c>
      <c r="P35" s="19" t="n">
        <v>5.253985428447743</v>
      </c>
      <c r="Q35" s="9" t="s">
        <v>537</v>
      </c>
    </row>
    <row r="36" customFormat="false" ht="15" hidden="false" customHeight="false" outlineLevel="0" collapsed="false">
      <c r="A36" s="7" t="s">
        <v>285</v>
      </c>
      <c r="B36" s="29" t="n">
        <v>1</v>
      </c>
      <c r="C36" s="19" t="n">
        <v>0.528</v>
      </c>
      <c r="D36" s="19" t="n">
        <v>0.5317171533207837</v>
      </c>
      <c r="E36" s="19" t="n">
        <v>408.81139741657256</v>
      </c>
      <c r="F36" s="19" t="n">
        <v>774.2640102586602</v>
      </c>
      <c r="G36" s="19" t="n">
        <v>118.15439237396154</v>
      </c>
      <c r="H36" s="29" t="n">
        <v>0</v>
      </c>
      <c r="I36" s="19" t="n">
        <v>330.7883719660686</v>
      </c>
      <c r="J36" s="29" t="n">
        <v>0</v>
      </c>
      <c r="K36" s="19" t="n">
        <v>16500.0</v>
      </c>
      <c r="L36" s="19" t="n">
        <v>1640.1691227451486</v>
      </c>
      <c r="M36" s="19" t="n">
        <v>10.059938192461503</v>
      </c>
      <c r="N36" s="29" t="n">
        <v>22</v>
      </c>
      <c r="O36" s="19" t="n">
        <v>-2461.0073492679985</v>
      </c>
      <c r="P36" s="19" t="n">
        <v>5.65067163254848</v>
      </c>
      <c r="Q36" s="9" t="s">
        <v>537</v>
      </c>
    </row>
    <row r="37" customFormat="false" ht="15" hidden="false" customHeight="false" outlineLevel="0" collapsed="false">
      <c r="A37" s="7" t="s">
        <v>285</v>
      </c>
      <c r="B37" s="29" t="n">
        <v>2</v>
      </c>
      <c r="C37" s="19" t="n">
        <v>1.056</v>
      </c>
      <c r="D37" s="19" t="n">
        <v>0.858381327333744</v>
      </c>
      <c r="E37" s="19" t="n">
        <v>659.9675555922745</v>
      </c>
      <c r="F37" s="19" t="n">
        <v>624.9692761290478</v>
      </c>
      <c r="G37" s="19" t="n">
        <v>266.4500151602951</v>
      </c>
      <c r="H37" s="29" t="n">
        <v>0</v>
      </c>
      <c r="I37" s="19" t="n">
        <v>353.15857989883057</v>
      </c>
      <c r="J37" s="29" t="n">
        <v>0</v>
      </c>
      <c r="K37" s="19" t="n">
        <v>21000.0</v>
      </c>
      <c r="L37" s="19" t="n">
        <v>2854.675843456516</v>
      </c>
      <c r="M37" s="19" t="n">
        <v>7.356351877266966</v>
      </c>
      <c r="N37" s="29" t="n">
        <v>12</v>
      </c>
      <c r="O37" s="19" t="n">
        <v>3434.5370430043004</v>
      </c>
      <c r="P37" s="19" t="n">
        <v>4.3393758062641705</v>
      </c>
      <c r="Q37" s="9" t="s">
        <v>537</v>
      </c>
    </row>
    <row r="38" customFormat="false" ht="15" hidden="false" customHeight="false" outlineLevel="0" collapsed="false">
      <c r="A38" s="7" t="s">
        <v>285</v>
      </c>
      <c r="B38" s="29" t="n">
        <v>3</v>
      </c>
      <c r="C38" s="19" t="n">
        <v>1.584</v>
      </c>
      <c r="D38" s="19" t="n">
        <v>0.9597297069132288</v>
      </c>
      <c r="E38" s="19" t="n">
        <v>737.8893838105912</v>
      </c>
      <c r="F38" s="19" t="n">
        <v>465.8392574561813</v>
      </c>
      <c r="G38" s="19" t="n">
        <v>435.707257012087</v>
      </c>
      <c r="H38" s="29" t="n">
        <v>197</v>
      </c>
      <c r="I38" s="19" t="n">
        <v>405.3612937172941</v>
      </c>
      <c r="J38" s="29" t="n">
        <v>29</v>
      </c>
      <c r="K38" s="19" t="n">
        <v>25500.0</v>
      </c>
      <c r="L38" s="19" t="n">
        <v>3219.045735694504</v>
      </c>
      <c r="M38" s="19" t="n">
        <v>7.921602267790835</v>
      </c>
      <c r="N38" s="29" t="n">
        <v>14</v>
      </c>
      <c r="O38" s="19" t="n">
        <v>2053.3533701373926</v>
      </c>
      <c r="P38" s="19" t="n">
        <v>4.622262321020202</v>
      </c>
      <c r="Q38" s="9" t="s">
        <v>537</v>
      </c>
    </row>
    <row r="39" customFormat="false" ht="15" hidden="false" customHeight="false" outlineLevel="0" collapsed="false">
      <c r="A39" s="7" t="s">
        <v>285</v>
      </c>
      <c r="B39" s="29" t="n">
        <v>4</v>
      </c>
      <c r="C39" s="19" t="n">
        <v>2.112</v>
      </c>
      <c r="D39" s="19" t="n">
        <v>0.984309067743725</v>
      </c>
      <c r="E39" s="19" t="n">
        <v>756.7872560834068</v>
      </c>
      <c r="F39" s="19" t="n">
        <v>358.32729928191605</v>
      </c>
      <c r="G39" s="19" t="n">
        <v>533.324543372369</v>
      </c>
      <c r="H39" s="29" t="n">
        <v>726</v>
      </c>
      <c r="I39" s="19" t="n">
        <v>441.5127610503249</v>
      </c>
      <c r="J39" s="29" t="n">
        <v>486</v>
      </c>
      <c r="K39" s="19" t="n">
        <v>30000.0</v>
      </c>
      <c r="L39" s="19" t="n">
        <v>3300.702497202118</v>
      </c>
      <c r="M39" s="19" t="n">
        <v>9.088974248793969</v>
      </c>
      <c r="N39" s="29" t="n">
        <v>17</v>
      </c>
      <c r="O39" s="19" t="n">
        <v>-1747.707320013098</v>
      </c>
      <c r="P39" s="19" t="n">
        <v>5.217171921623179</v>
      </c>
      <c r="Q39" s="9" t="s">
        <v>537</v>
      </c>
    </row>
    <row r="41" customFormat="false" ht="15" hidden="false" customHeight="false" outlineLevel="0" collapsed="false">
      <c r="A41" s="17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539</v>
      </c>
    </row>
    <row r="3" customFormat="false" ht="26.85" hidden="false" customHeight="false" outlineLevel="0" collapsed="false">
      <c r="A3" s="6" t="s">
        <v>453</v>
      </c>
      <c r="B3" s="6" t="s">
        <v>17</v>
      </c>
      <c r="C3" s="6" t="s">
        <v>18</v>
      </c>
      <c r="D3" s="6" t="s">
        <v>540</v>
      </c>
    </row>
    <row r="4" customFormat="false" ht="15" hidden="false" customHeight="false" outlineLevel="0" collapsed="false">
      <c r="A4" s="7" t="s">
        <v>541</v>
      </c>
      <c r="B4" s="26" t="n">
        <v>4.7</v>
      </c>
      <c r="C4" s="7" t="s">
        <v>59</v>
      </c>
      <c r="D4" s="9" t="s">
        <v>542</v>
      </c>
    </row>
    <row r="5" customFormat="false" ht="15" hidden="false" customHeight="false" outlineLevel="0" collapsed="false">
      <c r="A5" s="7" t="s">
        <v>543</v>
      </c>
      <c r="B5" s="26" t="n">
        <v>0.95</v>
      </c>
      <c r="C5" s="7" t="s">
        <v>25</v>
      </c>
      <c r="D5" s="9" t="s">
        <v>506</v>
      </c>
    </row>
    <row r="6" customFormat="false" ht="15" hidden="false" customHeight="false" outlineLevel="0" collapsed="false">
      <c r="A6" s="7" t="s">
        <v>544</v>
      </c>
      <c r="B6" s="29" t="n">
        <v>12000</v>
      </c>
      <c r="C6" s="7" t="s">
        <v>545</v>
      </c>
      <c r="D6" s="9" t="s">
        <v>546</v>
      </c>
    </row>
    <row r="7" customFormat="false" ht="15" hidden="false" customHeight="false" outlineLevel="0" collapsed="false">
      <c r="A7" s="7" t="s">
        <v>547</v>
      </c>
      <c r="B7" s="29" t="n">
        <v>4500</v>
      </c>
      <c r="C7" s="7" t="s">
        <v>548</v>
      </c>
      <c r="D7" s="9" t="s">
        <v>546</v>
      </c>
    </row>
    <row r="8" customFormat="false" ht="15" hidden="false" customHeight="false" outlineLevel="0" collapsed="false">
      <c r="A8" s="7" t="s">
        <v>549</v>
      </c>
      <c r="B8" s="29" t="n">
        <v>2</v>
      </c>
      <c r="C8" s="7" t="s">
        <v>25</v>
      </c>
      <c r="D8" s="9" t="s">
        <v>550</v>
      </c>
    </row>
    <row r="9" customFormat="false" ht="15" hidden="false" customHeight="false" outlineLevel="0" collapsed="false">
      <c r="A9" s="7" t="s">
        <v>551</v>
      </c>
      <c r="B9" s="29" t="n">
        <v>15</v>
      </c>
      <c r="C9" s="7" t="s">
        <v>64</v>
      </c>
      <c r="D9" s="9" t="s">
        <v>506</v>
      </c>
    </row>
    <row r="10" customFormat="false" ht="15" hidden="false" customHeight="false" outlineLevel="0" collapsed="false">
      <c r="A10" s="7" t="s">
        <v>552</v>
      </c>
      <c r="B10" s="26" t="n">
        <v>0.08</v>
      </c>
      <c r="C10" s="7" t="s">
        <v>25</v>
      </c>
      <c r="D10" s="9" t="s">
        <v>506</v>
      </c>
    </row>
    <row r="11" customFormat="false" ht="15" hidden="false" customHeight="false" outlineLevel="0" collapsed="false">
      <c r="A11" s="7" t="s">
        <v>553</v>
      </c>
      <c r="B11" s="26" t="n">
        <v>0.01</v>
      </c>
      <c r="C11" s="7" t="s">
        <v>25</v>
      </c>
      <c r="D11" s="9" t="s">
        <v>506</v>
      </c>
    </row>
    <row r="13" customFormat="false" ht="15" hidden="false" customHeight="false" outlineLevel="0" collapsed="false">
      <c r="A13" s="7" t="s">
        <v>554</v>
      </c>
      <c r="B13" s="30" t="n">
        <f aca="false">B6+B7*B8</f>
        <v>21000</v>
      </c>
      <c r="C13" s="7" t="s">
        <v>545</v>
      </c>
      <c r="D13" s="9" t="s">
        <v>555</v>
      </c>
    </row>
    <row r="14" customFormat="false" ht="15" hidden="false" customHeight="false" outlineLevel="0" collapsed="false">
      <c r="A14" s="7" t="s">
        <v>556</v>
      </c>
      <c r="B14" s="7" t="str">
        <f aca="false">IF(B13=Stage7_Annual!K37,"OK","MISMATCH")</f>
        <v>OK</v>
      </c>
    </row>
    <row r="15" customFormat="false" ht="15" hidden="false" customHeight="false" outlineLevel="0" collapsed="false">
      <c r="A15" s="7" t="s">
        <v>61</v>
      </c>
      <c r="B15" s="24" t="n">
        <f aca="false">B4/B5</f>
        <v>4.94736842105263</v>
      </c>
      <c r="C15" s="7" t="s">
        <v>59</v>
      </c>
      <c r="D15" s="9" t="s">
        <v>557</v>
      </c>
    </row>
    <row r="17" customFormat="false" ht="15" hidden="false" customHeight="false" outlineLevel="0" collapsed="false">
      <c r="A17" s="6" t="s">
        <v>558</v>
      </c>
      <c r="B17" s="6" t="s">
        <v>480</v>
      </c>
      <c r="C17" s="6" t="s">
        <v>479</v>
      </c>
      <c r="D17" s="6" t="s">
        <v>18</v>
      </c>
    </row>
    <row r="18" customFormat="false" ht="15" hidden="false" customHeight="false" outlineLevel="0" collapsed="false">
      <c r="A18" s="7" t="s">
        <v>559</v>
      </c>
      <c r="B18" s="14" t="n">
        <f aca="false">Stage7_Annual!D37</f>
        <v>0.858381327333744</v>
      </c>
      <c r="C18" s="14" t="n">
        <f aca="false">Stage7_Annual!D33</f>
        <v>0.830362770945463</v>
      </c>
      <c r="D18" s="7" t="s">
        <v>25</v>
      </c>
    </row>
    <row r="19" customFormat="false" ht="15" hidden="false" customHeight="false" outlineLevel="0" collapsed="false">
      <c r="A19" s="7" t="s">
        <v>560</v>
      </c>
      <c r="B19" s="31" t="n">
        <f aca="false">Stage7_Annual!E37</f>
        <v>659.967555592275</v>
      </c>
      <c r="C19" s="31" t="n">
        <f aca="false">Stage7_Annual!E33</f>
        <v>638.425453519487</v>
      </c>
      <c r="D19" s="7" t="s">
        <v>561</v>
      </c>
    </row>
    <row r="20" customFormat="false" ht="15" hidden="false" customHeight="false" outlineLevel="0" collapsed="false">
      <c r="A20" s="7" t="s">
        <v>562</v>
      </c>
      <c r="B20" s="12" t="n">
        <f aca="false">Stage7_Annual!P37</f>
        <v>4.33937580626417</v>
      </c>
      <c r="C20" s="12" t="n">
        <f aca="false">Stage7_Annual!P33</f>
        <v>4.4850593798717</v>
      </c>
      <c r="D20" s="7" t="s">
        <v>59</v>
      </c>
    </row>
    <row r="21" customFormat="false" ht="15" hidden="false" customHeight="false" outlineLevel="0" collapsed="false">
      <c r="A21" s="7" t="s">
        <v>563</v>
      </c>
      <c r="B21" s="16" t="n">
        <f aca="false">Stage7_Annual!M37</f>
        <v>7.35635187726697</v>
      </c>
      <c r="C21" s="16" t="n">
        <f aca="false">Stage7_Annual!M33</f>
        <v>7.64033576930842</v>
      </c>
      <c r="D21" s="7" t="s">
        <v>64</v>
      </c>
    </row>
    <row r="22" customFormat="false" ht="15" hidden="false" customHeight="false" outlineLevel="0" collapsed="false">
      <c r="A22" s="7" t="s">
        <v>564</v>
      </c>
      <c r="B22" s="15" t="n">
        <f aca="false">Stage7_Annual!N37</f>
        <v>12</v>
      </c>
      <c r="C22" s="15" t="n">
        <f aca="false">Stage7_Annual!N33</f>
        <v>13</v>
      </c>
      <c r="D22" s="7" t="s">
        <v>64</v>
      </c>
    </row>
    <row r="23" customFormat="false" ht="15" hidden="false" customHeight="false" outlineLevel="0" collapsed="false">
      <c r="A23" s="7" t="s">
        <v>565</v>
      </c>
      <c r="B23" s="13" t="n">
        <f aca="false">Stage7_Annual!L37</f>
        <v>2854.67584345652</v>
      </c>
      <c r="C23" s="13" t="n">
        <f aca="false">Stage7_Annual!L33</f>
        <v>2748.57030293852</v>
      </c>
      <c r="D23" s="7" t="s">
        <v>566</v>
      </c>
    </row>
    <row r="24" customFormat="false" ht="15" hidden="false" customHeight="false" outlineLevel="0" collapsed="false">
      <c r="A24" s="7" t="s">
        <v>567</v>
      </c>
      <c r="B24" s="13" t="n">
        <f aca="false">Stage7_Annual!O37</f>
        <v>3434.5370430043</v>
      </c>
      <c r="C24" s="13" t="n">
        <f aca="false">Stage7_Annual!O33</f>
        <v>2526.32893026956</v>
      </c>
      <c r="D24" s="7" t="s">
        <v>545</v>
      </c>
    </row>
    <row r="25" customFormat="false" ht="15" hidden="false" customHeight="false" outlineLevel="0" collapsed="false">
      <c r="A25" s="7" t="s">
        <v>568</v>
      </c>
      <c r="B25" s="7" t="str">
        <f aca="false">IF(B20&lt;B15,"yes","no")</f>
        <v>yes</v>
      </c>
      <c r="C25" s="7" t="str">
        <f aca="false">IF(C20&lt;B15,"yes","no")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2026-09-23T15:29:45Z</dcterms:created>
  <dc:creator>openpyxl</dc:creator>
  <dc:description/>
  <dc:language>en-US</dc:language>
  <cp:lastModifiedBy/>
  <dcterms:modified xsi:type="dcterms:W3CDTF">2026-09-23T15:29:45Z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